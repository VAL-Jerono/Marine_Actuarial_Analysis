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eonida/Downloads/"/>
    </mc:Choice>
  </mc:AlternateContent>
  <xr:revisionPtr revIDLastSave="0" documentId="8_{57B087EF-5AE0-4942-B94E-F96835F9106B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Claims Data" sheetId="1" r:id="rId1"/>
    <sheet name="Exploratory Analysis" sheetId="2" r:id="rId2"/>
    <sheet name="Pure Premium Work" sheetId="3" r:id="rId3"/>
  </sheets>
  <calcPr calcId="0"/>
</workbook>
</file>

<file path=xl/sharedStrings.xml><?xml version="1.0" encoding="utf-8"?>
<sst xmlns="http://schemas.openxmlformats.org/spreadsheetml/2006/main" count="792" uniqueCount="278">
  <si>
    <t>AIG SPECIALTY LINES — MARINE LIABILITY CLAIMS DATA  |  Oceanic Shipping Co.</t>
  </si>
  <si>
    <t>Prepared by: Actuarial Analyst  |  Analysis Period: 2018–2023  |  Currency: USD</t>
  </si>
  <si>
    <t>Claim ID</t>
  </si>
  <si>
    <t>Date of Claim</t>
  </si>
  <si>
    <t>Type of Claim</t>
  </si>
  <si>
    <t>Claim Incurred ($)</t>
  </si>
  <si>
    <t>Claim Status</t>
  </si>
  <si>
    <t>Gross Claim Amount ($)</t>
  </si>
  <si>
    <t>Policy Limits ($)</t>
  </si>
  <si>
    <t>Deductible ($)</t>
  </si>
  <si>
    <t>Cause of Loss</t>
  </si>
  <si>
    <t>Location</t>
  </si>
  <si>
    <t>Insured Party</t>
  </si>
  <si>
    <t>Gross Tonnage</t>
  </si>
  <si>
    <t>Prior Claims History</t>
  </si>
  <si>
    <t>Inflation Index</t>
  </si>
  <si>
    <t>Gross Inflation-Adj Claim ($)</t>
  </si>
  <si>
    <t>Net Inflation-Adj Claim ($)</t>
  </si>
  <si>
    <t>Capped Net Adj Incurred Claim ($)</t>
  </si>
  <si>
    <t>Attritional Flag</t>
  </si>
  <si>
    <t>Year</t>
  </si>
  <si>
    <t>CLM-00001</t>
  </si>
  <si>
    <t>Collision Liability</t>
  </si>
  <si>
    <t>Closed</t>
  </si>
  <si>
    <t>Human Error</t>
  </si>
  <si>
    <t>Indian Ocean</t>
  </si>
  <si>
    <t>Company 9</t>
  </si>
  <si>
    <t>CLM-00002</t>
  </si>
  <si>
    <t>Cargo Liability</t>
  </si>
  <si>
    <t>Technical Failure</t>
  </si>
  <si>
    <t>Atlantic Ocean</t>
  </si>
  <si>
    <t>Company 4</t>
  </si>
  <si>
    <t>CLM-00003</t>
  </si>
  <si>
    <t>Damage to Other Vessels</t>
  </si>
  <si>
    <t>Criminal Activity</t>
  </si>
  <si>
    <t>Mediterranean Sea</t>
  </si>
  <si>
    <t>Company 2</t>
  </si>
  <si>
    <t>CLM-00004</t>
  </si>
  <si>
    <t>Environmental Pollution</t>
  </si>
  <si>
    <t>Open</t>
  </si>
  <si>
    <t>Natural Disaster</t>
  </si>
  <si>
    <t>Pacific Ocean</t>
  </si>
  <si>
    <t>Company 17</t>
  </si>
  <si>
    <t>CLM-00005</t>
  </si>
  <si>
    <t>Injury to Third Parties</t>
  </si>
  <si>
    <t>In Litigation</t>
  </si>
  <si>
    <t>Company 12</t>
  </si>
  <si>
    <t>CLM-00006</t>
  </si>
  <si>
    <t>Company 3</t>
  </si>
  <si>
    <t>CLM-00007</t>
  </si>
  <si>
    <t>North Sea</t>
  </si>
  <si>
    <t>Company 11</t>
  </si>
  <si>
    <t>CLM-00008</t>
  </si>
  <si>
    <t>Company 5</t>
  </si>
  <si>
    <t>CLM-00009</t>
  </si>
  <si>
    <t>Company 8</t>
  </si>
  <si>
    <t>CLM-00010</t>
  </si>
  <si>
    <t>Company 10</t>
  </si>
  <si>
    <t>CLM-00011</t>
  </si>
  <si>
    <t>Company 7</t>
  </si>
  <si>
    <t>CLM-00012</t>
  </si>
  <si>
    <t>Company 6</t>
  </si>
  <si>
    <t>CLM-00013</t>
  </si>
  <si>
    <t>Company 13</t>
  </si>
  <si>
    <t>CLM-00014</t>
  </si>
  <si>
    <t>Company 19</t>
  </si>
  <si>
    <t>CLM-00015</t>
  </si>
  <si>
    <t>Company 14</t>
  </si>
  <si>
    <t>CLM-00016</t>
  </si>
  <si>
    <t>Company 1</t>
  </si>
  <si>
    <t>CLM-00017</t>
  </si>
  <si>
    <t>Company 15</t>
  </si>
  <si>
    <t>CLM-00018</t>
  </si>
  <si>
    <t>CLM-00019</t>
  </si>
  <si>
    <t>CLM-00020</t>
  </si>
  <si>
    <t>CLM-00021</t>
  </si>
  <si>
    <t>CLM-00022</t>
  </si>
  <si>
    <t>Company 16</t>
  </si>
  <si>
    <t>CLM-00023</t>
  </si>
  <si>
    <t>CLM-00024</t>
  </si>
  <si>
    <t>CLM-00025</t>
  </si>
  <si>
    <t>CLM-00026</t>
  </si>
  <si>
    <t>CLM-00027</t>
  </si>
  <si>
    <t>CLM-00028</t>
  </si>
  <si>
    <t>Company 18</t>
  </si>
  <si>
    <t>CLM-00029</t>
  </si>
  <si>
    <t>CLM-00030</t>
  </si>
  <si>
    <t>CLM-00031</t>
  </si>
  <si>
    <t>Company 20</t>
  </si>
  <si>
    <t>CLM-00032</t>
  </si>
  <si>
    <t>CLM-00033</t>
  </si>
  <si>
    <t>CLM-00034</t>
  </si>
  <si>
    <t>CLM-00035</t>
  </si>
  <si>
    <t>CLM-00036</t>
  </si>
  <si>
    <t>CLM-00037</t>
  </si>
  <si>
    <t>CLM-00038</t>
  </si>
  <si>
    <t>CLM-00039</t>
  </si>
  <si>
    <t>CLM-00040</t>
  </si>
  <si>
    <t>CLM-00041</t>
  </si>
  <si>
    <t>CLM-00042</t>
  </si>
  <si>
    <t>CLM-00043</t>
  </si>
  <si>
    <t>CLM-00044</t>
  </si>
  <si>
    <t>CLM-00045</t>
  </si>
  <si>
    <t>CLM-00046</t>
  </si>
  <si>
    <t>CLM-00047</t>
  </si>
  <si>
    <t>CLM-00048</t>
  </si>
  <si>
    <t>CLM-00049</t>
  </si>
  <si>
    <t>CLM-00050</t>
  </si>
  <si>
    <t>CLM-00051</t>
  </si>
  <si>
    <t>CLM-00052</t>
  </si>
  <si>
    <t>CLM-00053</t>
  </si>
  <si>
    <t>CLM-00054</t>
  </si>
  <si>
    <t>CLM-00055</t>
  </si>
  <si>
    <t>CLM-00056</t>
  </si>
  <si>
    <t>CLM-00057</t>
  </si>
  <si>
    <t>CLM-00058</t>
  </si>
  <si>
    <t>CLM-00059</t>
  </si>
  <si>
    <t>CLM-00060</t>
  </si>
  <si>
    <t>CLM-00061</t>
  </si>
  <si>
    <t>CLM-00062</t>
  </si>
  <si>
    <t>CLM-00063</t>
  </si>
  <si>
    <t>CLM-00064</t>
  </si>
  <si>
    <t>CLM-00065</t>
  </si>
  <si>
    <t>CLM-00066</t>
  </si>
  <si>
    <t>CLM-00067</t>
  </si>
  <si>
    <t>CLM-00068</t>
  </si>
  <si>
    <t>CLM-00069</t>
  </si>
  <si>
    <t>CLM-00070</t>
  </si>
  <si>
    <t>CLM-00071</t>
  </si>
  <si>
    <t>CLM-00072</t>
  </si>
  <si>
    <t>CLM-00073</t>
  </si>
  <si>
    <t>CLM-00074</t>
  </si>
  <si>
    <t>CLM-00075</t>
  </si>
  <si>
    <t>CLM-00076</t>
  </si>
  <si>
    <t>CLM-00077</t>
  </si>
  <si>
    <t>CLM-00078</t>
  </si>
  <si>
    <t>CLM-00079</t>
  </si>
  <si>
    <t>CLM-00080</t>
  </si>
  <si>
    <t>CLM-00081</t>
  </si>
  <si>
    <t>CLM-00082</t>
  </si>
  <si>
    <t>CLM-00083</t>
  </si>
  <si>
    <t>CLM-00084</t>
  </si>
  <si>
    <t>CLM-00085</t>
  </si>
  <si>
    <t>CLM-00086</t>
  </si>
  <si>
    <t>CLM-00087</t>
  </si>
  <si>
    <t>CLM-00088</t>
  </si>
  <si>
    <t>CLM-00089</t>
  </si>
  <si>
    <t>CLM-00090</t>
  </si>
  <si>
    <t>CLM-00091</t>
  </si>
  <si>
    <t>CLM-00092</t>
  </si>
  <si>
    <t>CLM-00093</t>
  </si>
  <si>
    <t>CLM-00094</t>
  </si>
  <si>
    <t>CLM-00095</t>
  </si>
  <si>
    <t>CLM-00096</t>
  </si>
  <si>
    <t>CLM-00097</t>
  </si>
  <si>
    <t>CLM-00098</t>
  </si>
  <si>
    <t>CLM-00099</t>
  </si>
  <si>
    <t>CLM-00100</t>
  </si>
  <si>
    <t>⚠  Columns highlighted in gold (F, O, P, Q) are derived values.  Orange row = Large Loss Event (CLM-00100, $5M Environmental Pollution, 2022) — excluded from attritional pricing.</t>
  </si>
  <si>
    <t>NOTE: Columns F, O, P, Q computed. Blue text = derived values. Large loss CLM-00100 flagged (attritional=0).</t>
  </si>
  <si>
    <t>AIG MARINE LIABILITY — EXPLORATORY DATA ANALYSIS</t>
  </si>
  <si>
    <t>Oceanic Shipping Co.  |  Analysis Period: 2018–2023  |  All figures USD  |  Attritional claims only (excl. CLM-00100)</t>
  </si>
  <si>
    <t>GIVEN ASSUMPTIONS</t>
  </si>
  <si>
    <t>KEY METRICS  (Attritional Claims Only)</t>
  </si>
  <si>
    <t>Commission rate</t>
  </si>
  <si>
    <t>0%</t>
  </si>
  <si>
    <t>Total Claims in Dataset</t>
  </si>
  <si>
    <t>Claims development</t>
  </si>
  <si>
    <t>No adjustment required</t>
  </si>
  <si>
    <t>Attritional Claims</t>
  </si>
  <si>
    <t>Policy period</t>
  </si>
  <si>
    <t>1 Jan – 31 Dec annually</t>
  </si>
  <si>
    <t>Large Loss Claims</t>
  </si>
  <si>
    <t>Large loss threshold</t>
  </si>
  <si>
    <t>&gt; $1,000,000 incurred</t>
  </si>
  <si>
    <t>Total Net Incurred — Attritional ($)</t>
  </si>
  <si>
    <t>Large loss event</t>
  </si>
  <si>
    <t>CLM-00100 — 1-in-20 year event</t>
  </si>
  <si>
    <t>Average Gross Claim ($)</t>
  </si>
  <si>
    <t>Expense loading</t>
  </si>
  <si>
    <t>30% of loss cost</t>
  </si>
  <si>
    <t>Average Inflation-Adjusted Claim ($)</t>
  </si>
  <si>
    <t>Profit requirement</t>
  </si>
  <si>
    <t>10% on account</t>
  </si>
  <si>
    <t>Avg Loss Frequency (per GT)</t>
  </si>
  <si>
    <t>Average Loss Severity ($)</t>
  </si>
  <si>
    <t>CLAIM TYPE SUMMARY  (Attritional)</t>
  </si>
  <si>
    <t>LOSS LOCATION SUMMARY  (Attritional)</t>
  </si>
  <si>
    <t>Claim Type</t>
  </si>
  <si>
    <t>Net Claims ($)</t>
  </si>
  <si>
    <t>Count</t>
  </si>
  <si>
    <t>Avg Severity ($)</t>
  </si>
  <si>
    <t>TOTAL</t>
  </si>
  <si>
    <t>—</t>
  </si>
  <si>
    <t>ANNUAL CLAIMS SUMMARY  (Attritional)</t>
  </si>
  <si>
    <t>CAUSE OF LOSS SUMMARY  (Attritional)</t>
  </si>
  <si>
    <t>COMMENTARY ON TRENDS, RISKS &amp; UNCERTAINTIES</t>
  </si>
  <si>
    <t>1. Claim Frequency</t>
  </si>
  <si>
    <t>Broadly stable at ~16–17 attritional claims per year (2018–2023). 2020–2021 showed modest peaks, likely reflecting elevated maritime activity.</t>
  </si>
  <si>
    <t>2. Claim Severity</t>
  </si>
  <si>
    <t>Average adjusted severity of ~$465K–$643K across the period. Environmental Pollution and Damage to Other Vessels exhibit the highest average costs.</t>
  </si>
  <si>
    <t>3. Large Loss Event (CLM-00100)</t>
  </si>
  <si>
    <t>A single $5M Environmental Pollution claim (2022) dominates the portfolio. Treated as a 1-in-20 year event and excluded from attritional pricing — loaded separately.</t>
  </si>
  <si>
    <t>4. Geographic Concentration</t>
  </si>
  <si>
    <t>Atlantic Ocean has the most claims (22). Mediterranean Sea shows the highest average severity ($669K), pointing to route-specific risk factors.</t>
  </si>
  <si>
    <t>5. Cause of Loss</t>
  </si>
  <si>
    <t>Technical Failure is the most frequent driver (35 claims, 35% of total). Natural Disaster and Criminal Activity drive higher per-claim costs.</t>
  </si>
  <si>
    <t>6. Data Risks &amp; Limitations</t>
  </si>
  <si>
    <t>(a) 20+ Open/In-Litigation claims remain unsettled — final costs may develop materially. (b) Only 6 years of data limits credibility for tail-risk estimation. (c) Inflation indices are assumed; actual deviations could materially impact projections.</t>
  </si>
  <si>
    <t>AIG MARINE LIABILITY — PURE PREMIUM PRICING MODEL</t>
  </si>
  <si>
    <t>Oceanic Shipping Co.  |  Experience-Based Rating  |  Pricing Year: 2024  |  All figures USD</t>
  </si>
  <si>
    <t>KEY ASSUMPTIONS</t>
  </si>
  <si>
    <t>PRICING SUMMARY</t>
  </si>
  <si>
    <t>Pure Premium ($)</t>
  </si>
  <si>
    <t>Claims development adjustment</t>
  </si>
  <si>
    <t>None required</t>
  </si>
  <si>
    <t>Large Loss Loading ($)</t>
  </si>
  <si>
    <t>Total Risk Premium ($)</t>
  </si>
  <si>
    <t>Deductibles</t>
  </si>
  <si>
    <t>Same as prior policy periods</t>
  </si>
  <si>
    <t>Expense Loading</t>
  </si>
  <si>
    <t>Profit Margin</t>
  </si>
  <si>
    <t>Large loss return period</t>
  </si>
  <si>
    <t>1-in-20 years</t>
  </si>
  <si>
    <t>FINAL PREMIUM ($)</t>
  </si>
  <si>
    <t>Sensitivity +6% Sev ($)</t>
  </si>
  <si>
    <t>Profit margin</t>
  </si>
  <si>
    <t>10%</t>
  </si>
  <si>
    <t>3% (projected)</t>
  </si>
  <si>
    <t>Base year for pricing</t>
  </si>
  <si>
    <t>2024 Expected Gross Tonnage</t>
  </si>
  <si>
    <t>40,000,000</t>
  </si>
  <si>
    <t>Sensitivity shock</t>
  </si>
  <si>
    <t>+6% increase in average loss severity</t>
  </si>
  <si>
    <t>STEP 1 — CLAIM FREQUENCY ANALYSIS  (Attritional Claims Only, excl. CLM-00100)</t>
  </si>
  <si>
    <t>No. of Claims</t>
  </si>
  <si>
    <t>Claim Freq per GT</t>
  </si>
  <si>
    <t>AVERAGE</t>
  </si>
  <si>
    <t>STEP 2 — LOSS SEVERITY ANALYSIS  (Attritional Claims Only)</t>
  </si>
  <si>
    <t>Sum Capped Net Adj ($)</t>
  </si>
  <si>
    <t>STEP 3 — EXPECTED LOSS PER UNIT OF GROSS TONNAGE</t>
  </si>
  <si>
    <t>Expected Loss per GT ($)</t>
  </si>
  <si>
    <t>STEP 4 — PURE PREMIUM CALCULATION</t>
  </si>
  <si>
    <t>Average Frequency per unit exposure</t>
  </si>
  <si>
    <t>Average Severity per claim ($)</t>
  </si>
  <si>
    <t>Pure Premium  (Freq × Sev × Tonnage)</t>
  </si>
  <si>
    <t>STEPS 5–7 — LARGE LOSS LOADING</t>
  </si>
  <si>
    <t>Large Loss Event</t>
  </si>
  <si>
    <t>CLM-00100  (Environmental Pollution, 2022)</t>
  </si>
  <si>
    <t>Inflation-Adjusted Large Loss Cost ($)</t>
  </si>
  <si>
    <t>Return Period (years)</t>
  </si>
  <si>
    <t>Large Loss Loading  (Cost ÷ Return Period)</t>
  </si>
  <si>
    <t>STEPS 8–9 — TOTAL RISK PREMIUM &amp; FINAL PREMIUM</t>
  </si>
  <si>
    <t>FINAL PREMIUM  = TRP × (1+Exp) × (1+Profit)</t>
  </si>
  <si>
    <t>STEP 10 — SENSITIVITY ANALYSIS  (Scenario: +6% Increase in Average Loss Severity)</t>
  </si>
  <si>
    <t>Rationale: Plausible under sustained inflation, rising vessel values, and escalating environmental claims.</t>
  </si>
  <si>
    <t>Base Average Severity ($)</t>
  </si>
  <si>
    <t>Severity Shock Applied</t>
  </si>
  <si>
    <t>+6%</t>
  </si>
  <si>
    <t>Shocked Average Severity ($)</t>
  </si>
  <si>
    <t>Shocked Pure Premium ($)</t>
  </si>
  <si>
    <t>Shocked Total Risk Premium ($)</t>
  </si>
  <si>
    <t>SHOCKED FINAL PREMIUM ($)</t>
  </si>
  <si>
    <t>Increase in Final Premium ($)</t>
  </si>
  <si>
    <t>% Change in Final Premium</t>
  </si>
  <si>
    <t>PRICING COMMENTARY &amp; RISK NARRATIVE</t>
  </si>
  <si>
    <t>Methodology</t>
  </si>
  <si>
    <t>Experience-based rating using 6 years (2018–2023) of attritional claims data. CLM-00100 ($5M Environmental Pollution, 2022) is treated as a separate large-loss loading at 1-in-20 year return period.</t>
  </si>
  <si>
    <t>Recommended Premium</t>
  </si>
  <si>
    <t>Final premium of $13,019,673, comprising: Pure Premium $8,841,969 + Large Loss Loading $262,697, plus 30% expense loading and 10% profit margin.</t>
  </si>
  <si>
    <t>Sensitivity</t>
  </si>
  <si>
    <t>A +6% severity shock increases the final premium by $758,641 (~5.8%). This underscores the importance of monitoring Environmental Pollution and Damage to Other Vessels trends closely.</t>
  </si>
  <si>
    <t>Open/Litigation Claims Risk</t>
  </si>
  <si>
    <t>20+ claims remain unresolved. Adverse development of these could materially understate true future loss costs, warranting an upward adjustment at next repricing cycle.</t>
  </si>
  <si>
    <t>Inflation Risk</t>
  </si>
  <si>
    <t>2024 inflation assumed at 3% (point estimate). Energy price shocks or macroeconomic stress could cause Environmental Pollution and Cargo costs to escalate faster than modelled.</t>
  </si>
  <si>
    <t>Credibility Note</t>
  </si>
  <si>
    <t>99 attritional claims over 6 years (~16 p.a.) provides moderate credibility. Incorporating industry experience via credibility-weighted blending is recommended for future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</si>
</sst>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\$#,##0.00"/>
    <numFmt numFmtId="166" formatCode="0.0000"/>
    <numFmt numFmtId="167" formatCode="\$#,##0"/>
    <numFmt numFmtId="171" formatCode="dd\-mmm\-yyyy"/>
    <numFmt numFmtId="172" formatCode="0.000E+00"/>
    <numFmt numFmtId="173" formatCode="\$0.0000"/>
  </numFmts>
  <fonts count="13" x14ac:knownFonts="1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1F3864"/>
      <name val="Arial"/>
      <family val="2"/>
    </font>
    <font>
      <i/>
      <sz val="8"/>
      <color rgb="FF7F7F7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1F386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E0CC"/>
      </patternFill>
    </fill>
    <fill>
      <patternFill patternType="solid">
        <fgColor rgb="FFC9A84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2E75B6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171" fontId="5" fillId="5" borderId="2" xfId="0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71" fontId="5" fillId="6" borderId="2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166" fontId="5" fillId="6" borderId="2" xfId="0" applyNumberFormat="1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71" fontId="6" fillId="7" borderId="2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166" fontId="6" fillId="7" borderId="2" xfId="0" applyNumberFormat="1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167" fontId="10" fillId="5" borderId="2" xfId="0" applyNumberFormat="1" applyFont="1" applyFill="1" applyBorder="1" applyAlignment="1">
      <alignment horizontal="center" vertical="center"/>
    </xf>
    <xf numFmtId="3" fontId="10" fillId="5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167" fontId="10" fillId="6" borderId="2" xfId="0" applyNumberFormat="1" applyFont="1" applyFill="1" applyBorder="1" applyAlignment="1">
      <alignment horizontal="center" vertical="center"/>
    </xf>
    <xf numFmtId="3" fontId="10" fillId="6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167" fontId="11" fillId="8" borderId="2" xfId="0" applyNumberFormat="1" applyFont="1" applyFill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1" fontId="10" fillId="6" borderId="2" xfId="0" applyNumberFormat="1" applyFont="1" applyFill="1" applyBorder="1" applyAlignment="1">
      <alignment horizontal="center" vertical="center"/>
    </xf>
    <xf numFmtId="1" fontId="10" fillId="4" borderId="2" xfId="0" applyNumberFormat="1" applyFont="1" applyFill="1" applyBorder="1" applyAlignment="1">
      <alignment horizontal="center" vertical="center"/>
    </xf>
    <xf numFmtId="167" fontId="10" fillId="4" borderId="2" xfId="0" applyNumberFormat="1" applyFont="1" applyFill="1" applyBorder="1" applyAlignment="1">
      <alignment horizontal="center" vertical="center"/>
    </xf>
    <xf numFmtId="3" fontId="10" fillId="4" borderId="2" xfId="0" applyNumberFormat="1" applyFont="1" applyFill="1" applyBorder="1" applyAlignment="1">
      <alignment horizontal="center" vertical="center"/>
    </xf>
    <xf numFmtId="9" fontId="10" fillId="4" borderId="2" xfId="0" applyNumberFormat="1" applyFont="1" applyFill="1" applyBorder="1" applyAlignment="1">
      <alignment horizontal="center" vertical="center"/>
    </xf>
    <xf numFmtId="9" fontId="10" fillId="6" borderId="2" xfId="0" applyNumberFormat="1" applyFont="1" applyFill="1" applyBorder="1" applyAlignment="1">
      <alignment horizontal="center" vertical="center"/>
    </xf>
    <xf numFmtId="167" fontId="7" fillId="9" borderId="2" xfId="0" applyNumberFormat="1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66" fontId="11" fillId="5" borderId="2" xfId="0" applyNumberFormat="1" applyFont="1" applyFill="1" applyBorder="1" applyAlignment="1">
      <alignment horizontal="center" vertical="center"/>
    </xf>
    <xf numFmtId="172" fontId="10" fillId="6" borderId="2" xfId="0" applyNumberFormat="1" applyFont="1" applyFill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172" fontId="10" fillId="5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172" fontId="7" fillId="8" borderId="2" xfId="0" applyNumberFormat="1" applyFont="1" applyFill="1" applyBorder="1" applyAlignment="1">
      <alignment horizontal="center" vertical="center"/>
    </xf>
    <xf numFmtId="167" fontId="7" fillId="8" borderId="2" xfId="0" applyNumberFormat="1" applyFont="1" applyFill="1" applyBorder="1" applyAlignment="1">
      <alignment horizontal="center" vertical="center"/>
    </xf>
    <xf numFmtId="173" fontId="10" fillId="6" borderId="2" xfId="0" applyNumberFormat="1" applyFont="1" applyFill="1" applyBorder="1" applyAlignment="1">
      <alignment horizontal="center" vertical="center"/>
    </xf>
    <xf numFmtId="173" fontId="10" fillId="5" borderId="2" xfId="0" applyNumberFormat="1" applyFont="1" applyFill="1" applyBorder="1" applyAlignment="1">
      <alignment horizontal="center" vertical="center"/>
    </xf>
    <xf numFmtId="173" fontId="7" fillId="8" borderId="2" xfId="0" applyNumberFormat="1" applyFont="1" applyFill="1" applyBorder="1" applyAlignment="1">
      <alignment horizontal="center" vertical="center"/>
    </xf>
    <xf numFmtId="167" fontId="7" fillId="10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10" fontId="10" fillId="6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0" fillId="0" borderId="0" xfId="0"/>
    <xf numFmtId="0" fontId="3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5" borderId="2" xfId="0" applyFont="1" applyFill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9" fillId="2" borderId="1" xfId="0" applyFont="1" applyFill="1" applyBorder="1" applyAlignment="1">
      <alignment horizontal="center" vertical="center" wrapText="1"/>
    </xf>
    <xf numFmtId="172" fontId="7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7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167" fontId="10" fillId="4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1" fontId="10" fillId="6" borderId="2" xfId="0" applyNumberFormat="1" applyFont="1" applyFill="1" applyBorder="1" applyAlignment="1">
      <alignment horizontal="left" vertical="center"/>
    </xf>
    <xf numFmtId="167" fontId="10" fillId="6" borderId="2" xfId="0" applyNumberFormat="1" applyFont="1" applyFill="1" applyBorder="1" applyAlignment="1">
      <alignment horizontal="center" vertical="center"/>
    </xf>
    <xf numFmtId="9" fontId="10" fillId="4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167" fontId="7" fillId="9" borderId="2" xfId="0" applyNumberFormat="1" applyFont="1" applyFill="1" applyBorder="1" applyAlignment="1">
      <alignment horizontal="center" vertical="center"/>
    </xf>
    <xf numFmtId="9" fontId="10" fillId="6" borderId="2" xfId="0" applyNumberFormat="1" applyFont="1" applyFill="1" applyBorder="1" applyAlignment="1">
      <alignment horizontal="center" vertical="center"/>
    </xf>
    <xf numFmtId="1" fontId="10" fillId="4" borderId="2" xfId="0" applyNumberFormat="1" applyFont="1" applyFill="1" applyBorder="1" applyAlignment="1">
      <alignment horizontal="left" vertical="center"/>
    </xf>
    <xf numFmtId="1" fontId="7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Annual Net Incurred Claims — Attritional ($)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231944444444445E-2"/>
          <c:y val="1.5119047619047619E-2"/>
          <c:w val="0.92768055555555551"/>
          <c:h val="0.94456349206349211"/>
        </c:manualLayout>
      </c:layout>
      <c:barChart>
        <c:barDir val="col"/>
        <c:grouping val="clustered"/>
        <c:varyColors val="1"/>
        <c:ser>
          <c:idx val="0"/>
          <c:order val="0"/>
          <c:tx>
            <c:v>Net Claims ($)</c:v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1"/>
          <c:cat>
            <c:numRef>
              <c:f>'Exploratory Analysis'!$A$25:$A$30</c:f>
              <c:numCache>
                <c:formatCode>0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'Exploratory Analysis'!$B$25:$B$30</c:f>
              <c:numCache>
                <c:formatCode>\$#,##0</c:formatCode>
                <c:ptCount val="6"/>
                <c:pt idx="0">
                  <c:v>6428231.5599999996</c:v>
                </c:pt>
                <c:pt idx="1">
                  <c:v>10365188.91</c:v>
                </c:pt>
                <c:pt idx="2">
                  <c:v>12073242.220000001</c:v>
                </c:pt>
                <c:pt idx="3">
                  <c:v>11966327.34</c:v>
                </c:pt>
                <c:pt idx="4">
                  <c:v>9751736.6099999994</c:v>
                </c:pt>
                <c:pt idx="5">
                  <c:v>7445877.4100000001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5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42-BC46-B6CD-8D5D02C17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Claims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Claim Count by Type — Attritional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1152777777777776E-2"/>
          <c:y val="0"/>
          <c:w val="0.94884722222222218"/>
          <c:h val="0.94456349206349211"/>
        </c:manualLayout>
      </c:layout>
      <c:barChart>
        <c:barDir val="col"/>
        <c:grouping val="clustered"/>
        <c:varyColors val="1"/>
        <c:ser>
          <c:idx val="0"/>
          <c:order val="0"/>
          <c:tx>
            <c:v>Claim Count</c:v>
          </c:tx>
          <c:spPr>
            <a:solidFill>
              <a:srgbClr val="C9A84C"/>
            </a:solidFill>
            <a:ln>
              <a:solidFill>
                <a:srgbClr val="C9A84C"/>
              </a:solidFill>
              <a:prstDash val="solid"/>
            </a:ln>
          </c:spPr>
          <c:invertIfNegative val="1"/>
          <c:cat>
            <c:strRef>
              <c:f>'Exploratory Analysis'!$A$16:$A$20</c:f>
              <c:strCache>
                <c:ptCount val="5"/>
                <c:pt idx="0">
                  <c:v>Cargo Liability</c:v>
                </c:pt>
                <c:pt idx="1">
                  <c:v>Collision Liability</c:v>
                </c:pt>
                <c:pt idx="2">
                  <c:v>Damage to Other Vessels</c:v>
                </c:pt>
                <c:pt idx="3">
                  <c:v>Environmental Pollution</c:v>
                </c:pt>
                <c:pt idx="4">
                  <c:v>Injury to Third Parties</c:v>
                </c:pt>
              </c:strCache>
            </c:strRef>
          </c:cat>
          <c:val>
            <c:numRef>
              <c:f>'Exploratory Analysis'!$C$16:$C$20</c:f>
              <c:numCache>
                <c:formatCode>#,##0</c:formatCode>
                <c:ptCount val="5"/>
                <c:pt idx="0">
                  <c:v>19</c:v>
                </c:pt>
                <c:pt idx="1">
                  <c:v>21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9A84C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14-9045-8A63-DA807C3F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Claim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Claims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Claim Severity by Location ($)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1125"/>
          <c:y val="8.3154761904761898E-2"/>
          <c:w val="0.8694722222222222"/>
          <c:h val="0.86392857142857138"/>
        </c:manualLayout>
      </c:layout>
      <c:barChart>
        <c:barDir val="bar"/>
        <c:grouping val="clustered"/>
        <c:varyColors val="1"/>
        <c:ser>
          <c:idx val="0"/>
          <c:order val="0"/>
          <c:tx>
            <c:v>Avg Severity ($)</c:v>
          </c:tx>
          <c:spPr>
            <a:solidFill>
              <a:srgbClr val="1F7A1F"/>
            </a:solidFill>
            <a:ln>
              <a:solidFill>
                <a:srgbClr val="1F7A1F"/>
              </a:solidFill>
              <a:prstDash val="solid"/>
            </a:ln>
          </c:spPr>
          <c:invertIfNegative val="1"/>
          <c:cat>
            <c:strRef>
              <c:f>'Exploratory Analysis'!$E$16:$E$20</c:f>
              <c:strCache>
                <c:ptCount val="5"/>
                <c:pt idx="0">
                  <c:v>Atlantic Ocean</c:v>
                </c:pt>
                <c:pt idx="1">
                  <c:v>Indian Ocean</c:v>
                </c:pt>
                <c:pt idx="2">
                  <c:v>Mediterranean Sea</c:v>
                </c:pt>
                <c:pt idx="3">
                  <c:v>North Sea</c:v>
                </c:pt>
                <c:pt idx="4">
                  <c:v>Pacific Ocean</c:v>
                </c:pt>
              </c:strCache>
            </c:strRef>
          </c:cat>
          <c:val>
            <c:numRef>
              <c:f>'Exploratory Analysis'!$H$16:$H$20</c:f>
              <c:numCache>
                <c:formatCode>\$#,##0</c:formatCode>
                <c:ptCount val="5"/>
                <c:pt idx="0">
                  <c:v>648099.9</c:v>
                </c:pt>
                <c:pt idx="1">
                  <c:v>492882.01</c:v>
                </c:pt>
                <c:pt idx="2">
                  <c:v>669461.27</c:v>
                </c:pt>
                <c:pt idx="3">
                  <c:v>532214.99</c:v>
                </c:pt>
                <c:pt idx="4">
                  <c:v>576823.30000000005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7A1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89-0F46-B1F2-CFC686B83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Severity ($)</a:t>
                </a:r>
              </a:p>
            </c:rich>
          </c:tx>
          <c:layout>
            <c:manualLayout>
              <c:xMode val="edge"/>
              <c:yMode val="edge"/>
              <c:x val="6.4902222222222236E-2"/>
              <c:y val="0.3996535714285713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Location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152400</xdr:colOff>
      <xdr:row>31</xdr:row>
      <xdr:rowOff>101600</xdr:rowOff>
    </xdr:from>
    <xdr:ext cx="720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406400</xdr:colOff>
      <xdr:row>31</xdr:row>
      <xdr:rowOff>177800</xdr:rowOff>
    </xdr:from>
    <xdr:ext cx="720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showGridLines="0" tabSelected="1" workbookViewId="0">
      <pane ySplit="3" topLeftCell="A4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22" customWidth="1"/>
    <col min="4" max="4" width="18" customWidth="1"/>
    <col min="5" max="5" width="14" customWidth="1"/>
    <col min="6" max="6" width="20" customWidth="1"/>
    <col min="7" max="7" width="16" customWidth="1"/>
    <col min="8" max="8" width="14" customWidth="1"/>
    <col min="9" max="9" width="18" customWidth="1"/>
    <col min="10" max="10" width="20" customWidth="1"/>
    <col min="11" max="12" width="14" customWidth="1"/>
    <col min="13" max="13" width="16" customWidth="1"/>
    <col min="14" max="14" width="14" customWidth="1"/>
    <col min="15" max="16" width="22" customWidth="1"/>
    <col min="17" max="17" width="26" customWidth="1"/>
    <col min="18" max="18" width="14" customWidth="1"/>
    <col min="19" max="19" width="8" customWidth="1"/>
  </cols>
  <sheetData>
    <row r="1" spans="1:19" ht="28" customHeight="1" x14ac:dyDescent="0.2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0"/>
    </row>
    <row r="2" spans="1:19" ht="16" customHeight="1" x14ac:dyDescent="0.2">
      <c r="A2" s="57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19" ht="40" customHeight="1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3" t="s">
        <v>16</v>
      </c>
      <c r="P3" s="3" t="s">
        <v>17</v>
      </c>
      <c r="Q3" s="3" t="s">
        <v>18</v>
      </c>
      <c r="R3" s="2" t="s">
        <v>19</v>
      </c>
      <c r="S3" s="2" t="s">
        <v>20</v>
      </c>
    </row>
    <row r="4" spans="1:19" x14ac:dyDescent="0.2">
      <c r="A4" s="4" t="s">
        <v>21</v>
      </c>
      <c r="B4" s="5">
        <v>43664</v>
      </c>
      <c r="C4" s="4" t="s">
        <v>22</v>
      </c>
      <c r="D4" s="6">
        <v>737423.28</v>
      </c>
      <c r="E4" s="4" t="s">
        <v>23</v>
      </c>
      <c r="F4" s="6">
        <v>749769.20000000007</v>
      </c>
      <c r="G4" s="6">
        <v>5000000</v>
      </c>
      <c r="H4" s="6">
        <v>12345.92</v>
      </c>
      <c r="I4" s="4" t="s">
        <v>24</v>
      </c>
      <c r="J4" s="4" t="s">
        <v>25</v>
      </c>
      <c r="K4" s="4" t="s">
        <v>26</v>
      </c>
      <c r="L4" s="7">
        <v>49891</v>
      </c>
      <c r="M4" s="4">
        <v>4</v>
      </c>
      <c r="N4" s="8">
        <v>1.1479107743999999</v>
      </c>
      <c r="O4" s="6">
        <v>860668.14299326844</v>
      </c>
      <c r="P4" s="6">
        <v>848322.2229932684</v>
      </c>
      <c r="Q4" s="6">
        <v>848322.2229932684</v>
      </c>
      <c r="R4" s="9">
        <v>1</v>
      </c>
      <c r="S4" s="9">
        <v>2019</v>
      </c>
    </row>
    <row r="5" spans="1:19" x14ac:dyDescent="0.2">
      <c r="A5" s="10" t="s">
        <v>27</v>
      </c>
      <c r="B5" s="11">
        <v>43978</v>
      </c>
      <c r="C5" s="10" t="s">
        <v>28</v>
      </c>
      <c r="D5" s="12">
        <v>315189.74</v>
      </c>
      <c r="E5" s="10" t="s">
        <v>23</v>
      </c>
      <c r="F5" s="12">
        <v>348906.5</v>
      </c>
      <c r="G5" s="12">
        <v>5000000</v>
      </c>
      <c r="H5" s="12">
        <v>33716.76</v>
      </c>
      <c r="I5" s="10" t="s">
        <v>29</v>
      </c>
      <c r="J5" s="10" t="s">
        <v>30</v>
      </c>
      <c r="K5" s="10" t="s">
        <v>31</v>
      </c>
      <c r="L5" s="13">
        <v>59967</v>
      </c>
      <c r="M5" s="10">
        <v>6</v>
      </c>
      <c r="N5" s="14">
        <v>1.1037603600000001</v>
      </c>
      <c r="O5" s="12">
        <v>385109.16404633998</v>
      </c>
      <c r="P5" s="12">
        <v>351392.40404633997</v>
      </c>
      <c r="Q5" s="12">
        <v>351392.40404633997</v>
      </c>
      <c r="R5" s="15">
        <v>1</v>
      </c>
      <c r="S5" s="15">
        <v>2020</v>
      </c>
    </row>
    <row r="6" spans="1:19" x14ac:dyDescent="0.2">
      <c r="A6" s="4" t="s">
        <v>32</v>
      </c>
      <c r="B6" s="5">
        <v>43427</v>
      </c>
      <c r="C6" s="4" t="s">
        <v>33</v>
      </c>
      <c r="D6" s="6">
        <v>678364.99</v>
      </c>
      <c r="E6" s="4" t="s">
        <v>23</v>
      </c>
      <c r="F6" s="6">
        <v>712761.9</v>
      </c>
      <c r="G6" s="6">
        <v>5000000</v>
      </c>
      <c r="H6" s="6">
        <v>34396.910000000003</v>
      </c>
      <c r="I6" s="4" t="s">
        <v>34</v>
      </c>
      <c r="J6" s="4" t="s">
        <v>35</v>
      </c>
      <c r="K6" s="4" t="s">
        <v>36</v>
      </c>
      <c r="L6" s="7">
        <v>46717</v>
      </c>
      <c r="M6" s="4">
        <v>3</v>
      </c>
      <c r="N6" s="8">
        <v>1.2053063131199999</v>
      </c>
      <c r="O6" s="6">
        <v>859096.41782140615</v>
      </c>
      <c r="P6" s="6">
        <v>824699.50782140612</v>
      </c>
      <c r="Q6" s="6">
        <v>824699.50782140612</v>
      </c>
      <c r="R6" s="9">
        <v>1</v>
      </c>
      <c r="S6" s="9">
        <v>2018</v>
      </c>
    </row>
    <row r="7" spans="1:19" x14ac:dyDescent="0.2">
      <c r="A7" s="10" t="s">
        <v>37</v>
      </c>
      <c r="B7" s="11">
        <v>44201</v>
      </c>
      <c r="C7" s="10" t="s">
        <v>38</v>
      </c>
      <c r="D7" s="12">
        <v>203840.58</v>
      </c>
      <c r="E7" s="10" t="s">
        <v>39</v>
      </c>
      <c r="F7" s="12">
        <v>215544.46</v>
      </c>
      <c r="G7" s="12">
        <v>5000000</v>
      </c>
      <c r="H7" s="12">
        <v>11703.88</v>
      </c>
      <c r="I7" s="10" t="s">
        <v>40</v>
      </c>
      <c r="J7" s="10" t="s">
        <v>41</v>
      </c>
      <c r="K7" s="10" t="s">
        <v>42</v>
      </c>
      <c r="L7" s="13">
        <v>54084</v>
      </c>
      <c r="M7" s="10">
        <v>7</v>
      </c>
      <c r="N7" s="14">
        <v>1.071612</v>
      </c>
      <c r="O7" s="12">
        <v>230980.02986951999</v>
      </c>
      <c r="P7" s="12">
        <v>219276.14986952001</v>
      </c>
      <c r="Q7" s="12">
        <v>219276.14986952001</v>
      </c>
      <c r="R7" s="15">
        <v>1</v>
      </c>
      <c r="S7" s="15">
        <v>2021</v>
      </c>
    </row>
    <row r="8" spans="1:19" x14ac:dyDescent="0.2">
      <c r="A8" s="4" t="s">
        <v>43</v>
      </c>
      <c r="B8" s="5">
        <v>45091</v>
      </c>
      <c r="C8" s="4" t="s">
        <v>44</v>
      </c>
      <c r="D8" s="6">
        <v>98692.46</v>
      </c>
      <c r="E8" s="4" t="s">
        <v>45</v>
      </c>
      <c r="F8" s="6">
        <v>146820.18</v>
      </c>
      <c r="G8" s="6">
        <v>1000000</v>
      </c>
      <c r="H8" s="6">
        <v>48127.72</v>
      </c>
      <c r="I8" s="4" t="s">
        <v>24</v>
      </c>
      <c r="J8" s="4" t="s">
        <v>25</v>
      </c>
      <c r="K8" s="4" t="s">
        <v>46</v>
      </c>
      <c r="L8" s="7">
        <v>19215</v>
      </c>
      <c r="M8" s="4">
        <v>8</v>
      </c>
      <c r="N8" s="8">
        <v>1.03</v>
      </c>
      <c r="O8" s="6">
        <v>151224.78539999999</v>
      </c>
      <c r="P8" s="6">
        <v>103097.06540000001</v>
      </c>
      <c r="Q8" s="6">
        <v>103097.06540000001</v>
      </c>
      <c r="R8" s="9">
        <v>1</v>
      </c>
      <c r="S8" s="9">
        <v>2023</v>
      </c>
    </row>
    <row r="9" spans="1:19" x14ac:dyDescent="0.2">
      <c r="A9" s="10" t="s">
        <v>47</v>
      </c>
      <c r="B9" s="11">
        <v>43584</v>
      </c>
      <c r="C9" s="10" t="s">
        <v>22</v>
      </c>
      <c r="D9" s="12">
        <v>243918.65</v>
      </c>
      <c r="E9" s="10" t="s">
        <v>23</v>
      </c>
      <c r="F9" s="12">
        <v>254504.19</v>
      </c>
      <c r="G9" s="12">
        <v>5000000</v>
      </c>
      <c r="H9" s="12">
        <v>10585.54</v>
      </c>
      <c r="I9" s="10" t="s">
        <v>29</v>
      </c>
      <c r="J9" s="10" t="s">
        <v>30</v>
      </c>
      <c r="K9" s="10" t="s">
        <v>48</v>
      </c>
      <c r="L9" s="13">
        <v>70508</v>
      </c>
      <c r="M9" s="10">
        <v>2</v>
      </c>
      <c r="N9" s="14">
        <v>1.1479107743999999</v>
      </c>
      <c r="O9" s="12">
        <v>292148.10183094471</v>
      </c>
      <c r="P9" s="12">
        <v>281562.56183094467</v>
      </c>
      <c r="Q9" s="12">
        <v>281562.56183094467</v>
      </c>
      <c r="R9" s="15">
        <v>1</v>
      </c>
      <c r="S9" s="15">
        <v>2019</v>
      </c>
    </row>
    <row r="10" spans="1:19" x14ac:dyDescent="0.2">
      <c r="A10" s="4" t="s">
        <v>49</v>
      </c>
      <c r="B10" s="5">
        <v>44398</v>
      </c>
      <c r="C10" s="4" t="s">
        <v>38</v>
      </c>
      <c r="D10" s="6">
        <v>765873.46</v>
      </c>
      <c r="E10" s="4" t="s">
        <v>23</v>
      </c>
      <c r="F10" s="6">
        <v>783218.83</v>
      </c>
      <c r="G10" s="6">
        <v>5000000</v>
      </c>
      <c r="H10" s="6">
        <v>17345.37</v>
      </c>
      <c r="I10" s="4" t="s">
        <v>40</v>
      </c>
      <c r="J10" s="4" t="s">
        <v>50</v>
      </c>
      <c r="K10" s="4" t="s">
        <v>51</v>
      </c>
      <c r="L10" s="7">
        <v>69838</v>
      </c>
      <c r="M10" s="4">
        <v>1</v>
      </c>
      <c r="N10" s="8">
        <v>1.071612</v>
      </c>
      <c r="O10" s="6">
        <v>839306.69685395993</v>
      </c>
      <c r="P10" s="6">
        <v>821961.32685395994</v>
      </c>
      <c r="Q10" s="6">
        <v>821961.32685395994</v>
      </c>
      <c r="R10" s="9">
        <v>1</v>
      </c>
      <c r="S10" s="9">
        <v>2021</v>
      </c>
    </row>
    <row r="11" spans="1:19" x14ac:dyDescent="0.2">
      <c r="A11" s="10" t="s">
        <v>52</v>
      </c>
      <c r="B11" s="11">
        <v>44638</v>
      </c>
      <c r="C11" s="10" t="s">
        <v>33</v>
      </c>
      <c r="D11" s="12">
        <v>913843.77</v>
      </c>
      <c r="E11" s="10" t="s">
        <v>23</v>
      </c>
      <c r="F11" s="12">
        <v>939444.11</v>
      </c>
      <c r="G11" s="12">
        <v>5000000</v>
      </c>
      <c r="H11" s="12">
        <v>25600.34</v>
      </c>
      <c r="I11" s="10" t="s">
        <v>34</v>
      </c>
      <c r="J11" s="10" t="s">
        <v>30</v>
      </c>
      <c r="K11" s="10" t="s">
        <v>53</v>
      </c>
      <c r="L11" s="13">
        <v>37855</v>
      </c>
      <c r="M11" s="10">
        <v>0</v>
      </c>
      <c r="N11" s="14">
        <v>1.0506</v>
      </c>
      <c r="O11" s="12">
        <v>986979.98196599993</v>
      </c>
      <c r="P11" s="12">
        <v>961379.64196599997</v>
      </c>
      <c r="Q11" s="12">
        <v>961379.64196599997</v>
      </c>
      <c r="R11" s="15">
        <v>1</v>
      </c>
      <c r="S11" s="15">
        <v>2022</v>
      </c>
    </row>
    <row r="12" spans="1:19" x14ac:dyDescent="0.2">
      <c r="A12" s="4" t="s">
        <v>54</v>
      </c>
      <c r="B12" s="5">
        <v>44150</v>
      </c>
      <c r="C12" s="4" t="s">
        <v>28</v>
      </c>
      <c r="D12" s="6">
        <v>754890.21</v>
      </c>
      <c r="E12" s="4" t="s">
        <v>23</v>
      </c>
      <c r="F12" s="6">
        <v>793074.64999999991</v>
      </c>
      <c r="G12" s="6">
        <v>5000000</v>
      </c>
      <c r="H12" s="6">
        <v>38184.44</v>
      </c>
      <c r="I12" s="4" t="s">
        <v>29</v>
      </c>
      <c r="J12" s="4" t="s">
        <v>35</v>
      </c>
      <c r="K12" s="4" t="s">
        <v>55</v>
      </c>
      <c r="L12" s="7">
        <v>20938</v>
      </c>
      <c r="M12" s="4">
        <v>6</v>
      </c>
      <c r="N12" s="8">
        <v>1.1037603600000001</v>
      </c>
      <c r="O12" s="6">
        <v>875364.36119087401</v>
      </c>
      <c r="P12" s="6">
        <v>837179.92119087395</v>
      </c>
      <c r="Q12" s="6">
        <v>837179.92119087395</v>
      </c>
      <c r="R12" s="9">
        <v>1</v>
      </c>
      <c r="S12" s="9">
        <v>2020</v>
      </c>
    </row>
    <row r="13" spans="1:19" x14ac:dyDescent="0.2">
      <c r="A13" s="10" t="s">
        <v>56</v>
      </c>
      <c r="B13" s="11">
        <v>43258</v>
      </c>
      <c r="C13" s="10" t="s">
        <v>22</v>
      </c>
      <c r="D13" s="12">
        <v>600293.27</v>
      </c>
      <c r="E13" s="10" t="s">
        <v>39</v>
      </c>
      <c r="F13" s="12">
        <v>601436.52</v>
      </c>
      <c r="G13" s="12">
        <v>5000000</v>
      </c>
      <c r="H13" s="12">
        <v>1143.25</v>
      </c>
      <c r="I13" s="10" t="s">
        <v>24</v>
      </c>
      <c r="J13" s="10" t="s">
        <v>30</v>
      </c>
      <c r="K13" s="10" t="s">
        <v>57</v>
      </c>
      <c r="L13" s="13">
        <v>70143</v>
      </c>
      <c r="M13" s="10">
        <v>5</v>
      </c>
      <c r="N13" s="14">
        <v>1.2053063131199999</v>
      </c>
      <c r="O13" s="12">
        <v>724915.23449692316</v>
      </c>
      <c r="P13" s="12">
        <v>723771.98449692316</v>
      </c>
      <c r="Q13" s="12">
        <v>723771.98449692316</v>
      </c>
      <c r="R13" s="15">
        <v>1</v>
      </c>
      <c r="S13" s="15">
        <v>2018</v>
      </c>
    </row>
    <row r="14" spans="1:19" x14ac:dyDescent="0.2">
      <c r="A14" s="4" t="s">
        <v>58</v>
      </c>
      <c r="B14" s="5">
        <v>44251</v>
      </c>
      <c r="C14" s="4" t="s">
        <v>38</v>
      </c>
      <c r="D14" s="6">
        <v>320726.12</v>
      </c>
      <c r="E14" s="4" t="s">
        <v>23</v>
      </c>
      <c r="F14" s="6">
        <v>363045.09</v>
      </c>
      <c r="G14" s="6">
        <v>5000000</v>
      </c>
      <c r="H14" s="6">
        <v>42318.97</v>
      </c>
      <c r="I14" s="4" t="s">
        <v>29</v>
      </c>
      <c r="J14" s="4" t="s">
        <v>50</v>
      </c>
      <c r="K14" s="4" t="s">
        <v>59</v>
      </c>
      <c r="L14" s="7">
        <v>88039</v>
      </c>
      <c r="M14" s="4">
        <v>7</v>
      </c>
      <c r="N14" s="8">
        <v>1.071612</v>
      </c>
      <c r="O14" s="6">
        <v>389043.47498508001</v>
      </c>
      <c r="P14" s="6">
        <v>346724.50498507998</v>
      </c>
      <c r="Q14" s="6">
        <v>346724.50498507998</v>
      </c>
      <c r="R14" s="9">
        <v>1</v>
      </c>
      <c r="S14" s="9">
        <v>2021</v>
      </c>
    </row>
    <row r="15" spans="1:19" x14ac:dyDescent="0.2">
      <c r="A15" s="10" t="s">
        <v>60</v>
      </c>
      <c r="B15" s="11">
        <v>44180</v>
      </c>
      <c r="C15" s="10" t="s">
        <v>28</v>
      </c>
      <c r="D15" s="12">
        <v>195238.55</v>
      </c>
      <c r="E15" s="10" t="s">
        <v>23</v>
      </c>
      <c r="F15" s="12">
        <v>220873.24</v>
      </c>
      <c r="G15" s="12">
        <v>1000000</v>
      </c>
      <c r="H15" s="12">
        <v>25634.69</v>
      </c>
      <c r="I15" s="10" t="s">
        <v>34</v>
      </c>
      <c r="J15" s="10" t="s">
        <v>35</v>
      </c>
      <c r="K15" s="10" t="s">
        <v>61</v>
      </c>
      <c r="L15" s="13">
        <v>73672</v>
      </c>
      <c r="M15" s="10">
        <v>8</v>
      </c>
      <c r="N15" s="14">
        <v>1.1037603600000001</v>
      </c>
      <c r="O15" s="12">
        <v>243791.12689676639</v>
      </c>
      <c r="P15" s="12">
        <v>218156.43689676639</v>
      </c>
      <c r="Q15" s="12">
        <v>218156.43689676639</v>
      </c>
      <c r="R15" s="15">
        <v>1</v>
      </c>
      <c r="S15" s="15">
        <v>2020</v>
      </c>
    </row>
    <row r="16" spans="1:19" x14ac:dyDescent="0.2">
      <c r="A16" s="4" t="s">
        <v>62</v>
      </c>
      <c r="B16" s="5">
        <v>44794</v>
      </c>
      <c r="C16" s="4" t="s">
        <v>22</v>
      </c>
      <c r="D16" s="6">
        <v>158738.94</v>
      </c>
      <c r="E16" s="4" t="s">
        <v>45</v>
      </c>
      <c r="F16" s="6">
        <v>188195.05</v>
      </c>
      <c r="G16" s="6">
        <v>1000000</v>
      </c>
      <c r="H16" s="6">
        <v>29456.11</v>
      </c>
      <c r="I16" s="4" t="s">
        <v>24</v>
      </c>
      <c r="J16" s="4" t="s">
        <v>25</v>
      </c>
      <c r="K16" s="4" t="s">
        <v>63</v>
      </c>
      <c r="L16" s="7">
        <v>50919</v>
      </c>
      <c r="M16" s="4">
        <v>3</v>
      </c>
      <c r="N16" s="8">
        <v>1.0506</v>
      </c>
      <c r="O16" s="6">
        <v>197717.71953</v>
      </c>
      <c r="P16" s="6">
        <v>168261.60952999999</v>
      </c>
      <c r="Q16" s="6">
        <v>168261.60952999999</v>
      </c>
      <c r="R16" s="9">
        <v>1</v>
      </c>
      <c r="S16" s="9">
        <v>2022</v>
      </c>
    </row>
    <row r="17" spans="1:19" x14ac:dyDescent="0.2">
      <c r="A17" s="10" t="s">
        <v>64</v>
      </c>
      <c r="B17" s="11">
        <v>44937</v>
      </c>
      <c r="C17" s="10" t="s">
        <v>33</v>
      </c>
      <c r="D17" s="12">
        <v>125309.18</v>
      </c>
      <c r="E17" s="10" t="s">
        <v>23</v>
      </c>
      <c r="F17" s="12">
        <v>140287.41</v>
      </c>
      <c r="G17" s="12">
        <v>1000000</v>
      </c>
      <c r="H17" s="12">
        <v>14978.23</v>
      </c>
      <c r="I17" s="10" t="s">
        <v>34</v>
      </c>
      <c r="J17" s="10" t="s">
        <v>41</v>
      </c>
      <c r="K17" s="10" t="s">
        <v>65</v>
      </c>
      <c r="L17" s="13">
        <v>25799</v>
      </c>
      <c r="M17" s="10">
        <v>2</v>
      </c>
      <c r="N17" s="14">
        <v>1.03</v>
      </c>
      <c r="O17" s="12">
        <v>144496.03229999999</v>
      </c>
      <c r="P17" s="12">
        <v>129517.8023</v>
      </c>
      <c r="Q17" s="12">
        <v>129517.8023</v>
      </c>
      <c r="R17" s="15">
        <v>1</v>
      </c>
      <c r="S17" s="15">
        <v>2023</v>
      </c>
    </row>
    <row r="18" spans="1:19" x14ac:dyDescent="0.2">
      <c r="A18" s="4" t="s">
        <v>66</v>
      </c>
      <c r="B18" s="5">
        <v>43738</v>
      </c>
      <c r="C18" s="4" t="s">
        <v>38</v>
      </c>
      <c r="D18" s="6">
        <v>701924.64</v>
      </c>
      <c r="E18" s="4" t="s">
        <v>39</v>
      </c>
      <c r="F18" s="6">
        <v>726627.31</v>
      </c>
      <c r="G18" s="6">
        <v>5000000</v>
      </c>
      <c r="H18" s="6">
        <v>24702.67</v>
      </c>
      <c r="I18" s="4" t="s">
        <v>29</v>
      </c>
      <c r="J18" s="4" t="s">
        <v>30</v>
      </c>
      <c r="K18" s="4" t="s">
        <v>67</v>
      </c>
      <c r="L18" s="7">
        <v>101512</v>
      </c>
      <c r="M18" s="4">
        <v>6</v>
      </c>
      <c r="N18" s="8">
        <v>1.1479107743999999</v>
      </c>
      <c r="O18" s="6">
        <v>834103.31812228879</v>
      </c>
      <c r="P18" s="6">
        <v>809400.64812228875</v>
      </c>
      <c r="Q18" s="6">
        <v>809400.64812228875</v>
      </c>
      <c r="R18" s="9">
        <v>1</v>
      </c>
      <c r="S18" s="9">
        <v>2019</v>
      </c>
    </row>
    <row r="19" spans="1:19" x14ac:dyDescent="0.2">
      <c r="A19" s="10" t="s">
        <v>68</v>
      </c>
      <c r="B19" s="11">
        <v>43294</v>
      </c>
      <c r="C19" s="10" t="s">
        <v>44</v>
      </c>
      <c r="D19" s="12">
        <v>590732.85</v>
      </c>
      <c r="E19" s="10" t="s">
        <v>23</v>
      </c>
      <c r="F19" s="12">
        <v>600165.35</v>
      </c>
      <c r="G19" s="12">
        <v>5000000</v>
      </c>
      <c r="H19" s="12">
        <v>9432.5</v>
      </c>
      <c r="I19" s="10" t="s">
        <v>40</v>
      </c>
      <c r="J19" s="10" t="s">
        <v>35</v>
      </c>
      <c r="K19" s="10" t="s">
        <v>69</v>
      </c>
      <c r="L19" s="13">
        <v>54555</v>
      </c>
      <c r="M19" s="10">
        <v>4</v>
      </c>
      <c r="N19" s="14">
        <v>1.2053063131199999</v>
      </c>
      <c r="O19" s="12">
        <v>723383.08527087432</v>
      </c>
      <c r="P19" s="12">
        <v>713950.58527087432</v>
      </c>
      <c r="Q19" s="12">
        <v>713950.58527087432</v>
      </c>
      <c r="R19" s="15">
        <v>1</v>
      </c>
      <c r="S19" s="15">
        <v>2018</v>
      </c>
    </row>
    <row r="20" spans="1:19" x14ac:dyDescent="0.2">
      <c r="A20" s="4" t="s">
        <v>70</v>
      </c>
      <c r="B20" s="5">
        <v>44288</v>
      </c>
      <c r="C20" s="4" t="s">
        <v>22</v>
      </c>
      <c r="D20" s="6">
        <v>358145.93</v>
      </c>
      <c r="E20" s="4" t="s">
        <v>23</v>
      </c>
      <c r="F20" s="6">
        <v>375066.3</v>
      </c>
      <c r="G20" s="6">
        <v>2000000</v>
      </c>
      <c r="H20" s="6">
        <v>16920.37</v>
      </c>
      <c r="I20" s="4" t="s">
        <v>24</v>
      </c>
      <c r="J20" s="4" t="s">
        <v>41</v>
      </c>
      <c r="K20" s="4" t="s">
        <v>71</v>
      </c>
      <c r="L20" s="7">
        <v>81009</v>
      </c>
      <c r="M20" s="4">
        <v>7</v>
      </c>
      <c r="N20" s="8">
        <v>1.071612</v>
      </c>
      <c r="O20" s="6">
        <v>401925.54787559999</v>
      </c>
      <c r="P20" s="6">
        <v>385005.1778756</v>
      </c>
      <c r="Q20" s="6">
        <v>385005.1778756</v>
      </c>
      <c r="R20" s="9">
        <v>1</v>
      </c>
      <c r="S20" s="9">
        <v>2021</v>
      </c>
    </row>
    <row r="21" spans="1:19" x14ac:dyDescent="0.2">
      <c r="A21" s="10" t="s">
        <v>72</v>
      </c>
      <c r="B21" s="11">
        <v>43641</v>
      </c>
      <c r="C21" s="10" t="s">
        <v>33</v>
      </c>
      <c r="D21" s="12">
        <v>453896.75</v>
      </c>
      <c r="E21" s="10" t="s">
        <v>23</v>
      </c>
      <c r="F21" s="12">
        <v>492825.48</v>
      </c>
      <c r="G21" s="12">
        <v>500000</v>
      </c>
      <c r="H21" s="12">
        <v>38928.730000000003</v>
      </c>
      <c r="I21" s="10" t="s">
        <v>34</v>
      </c>
      <c r="J21" s="10" t="s">
        <v>50</v>
      </c>
      <c r="K21" s="10" t="s">
        <v>55</v>
      </c>
      <c r="L21" s="13">
        <v>65067</v>
      </c>
      <c r="M21" s="10">
        <v>5</v>
      </c>
      <c r="N21" s="14">
        <v>1.1479107743999999</v>
      </c>
      <c r="O21" s="12">
        <v>565719.67839085159</v>
      </c>
      <c r="P21" s="12">
        <v>526790.94839085161</v>
      </c>
      <c r="Q21" s="12">
        <v>500000</v>
      </c>
      <c r="R21" s="15">
        <v>1</v>
      </c>
      <c r="S21" s="15">
        <v>2019</v>
      </c>
    </row>
    <row r="22" spans="1:19" x14ac:dyDescent="0.2">
      <c r="A22" s="4" t="s">
        <v>73</v>
      </c>
      <c r="B22" s="5">
        <v>44754</v>
      </c>
      <c r="C22" s="4" t="s">
        <v>28</v>
      </c>
      <c r="D22" s="6">
        <v>195984.65</v>
      </c>
      <c r="E22" s="4" t="s">
        <v>45</v>
      </c>
      <c r="F22" s="6">
        <v>215631.84</v>
      </c>
      <c r="G22" s="6">
        <v>500000</v>
      </c>
      <c r="H22" s="6">
        <v>19647.189999999999</v>
      </c>
      <c r="I22" s="4" t="s">
        <v>29</v>
      </c>
      <c r="J22" s="4" t="s">
        <v>25</v>
      </c>
      <c r="K22" s="4" t="s">
        <v>57</v>
      </c>
      <c r="L22" s="7">
        <v>68541</v>
      </c>
      <c r="M22" s="4">
        <v>3</v>
      </c>
      <c r="N22" s="8">
        <v>1.0506</v>
      </c>
      <c r="O22" s="6">
        <v>226542.81110399999</v>
      </c>
      <c r="P22" s="6">
        <v>206895.62110399999</v>
      </c>
      <c r="Q22" s="6">
        <v>206895.62110399999</v>
      </c>
      <c r="R22" s="9">
        <v>1</v>
      </c>
      <c r="S22" s="9">
        <v>2022</v>
      </c>
    </row>
    <row r="23" spans="1:19" x14ac:dyDescent="0.2">
      <c r="A23" s="10" t="s">
        <v>74</v>
      </c>
      <c r="B23" s="11">
        <v>43910</v>
      </c>
      <c r="C23" s="10" t="s">
        <v>38</v>
      </c>
      <c r="D23" s="12">
        <v>472804.33</v>
      </c>
      <c r="E23" s="10" t="s">
        <v>39</v>
      </c>
      <c r="F23" s="12">
        <v>518485.62</v>
      </c>
      <c r="G23" s="12">
        <v>5000000</v>
      </c>
      <c r="H23" s="12">
        <v>45681.29</v>
      </c>
      <c r="I23" s="10" t="s">
        <v>40</v>
      </c>
      <c r="J23" s="10" t="s">
        <v>30</v>
      </c>
      <c r="K23" s="10" t="s">
        <v>51</v>
      </c>
      <c r="L23" s="13">
        <v>65277</v>
      </c>
      <c r="M23" s="10">
        <v>8</v>
      </c>
      <c r="N23" s="14">
        <v>1.1037603600000001</v>
      </c>
      <c r="O23" s="12">
        <v>572283.87458602327</v>
      </c>
      <c r="P23" s="12">
        <v>526602.58458602324</v>
      </c>
      <c r="Q23" s="12">
        <v>526602.58458602324</v>
      </c>
      <c r="R23" s="15">
        <v>1</v>
      </c>
      <c r="S23" s="15">
        <v>2020</v>
      </c>
    </row>
    <row r="24" spans="1:19" x14ac:dyDescent="0.2">
      <c r="A24" s="4" t="s">
        <v>75</v>
      </c>
      <c r="B24" s="5">
        <v>45076</v>
      </c>
      <c r="C24" s="4" t="s">
        <v>44</v>
      </c>
      <c r="D24" s="6">
        <v>87924.45</v>
      </c>
      <c r="E24" s="4" t="s">
        <v>23</v>
      </c>
      <c r="F24" s="6">
        <v>111522.66</v>
      </c>
      <c r="G24" s="6">
        <v>500000</v>
      </c>
      <c r="H24" s="6">
        <v>23598.21</v>
      </c>
      <c r="I24" s="4" t="s">
        <v>29</v>
      </c>
      <c r="J24" s="4" t="s">
        <v>50</v>
      </c>
      <c r="K24" s="4" t="s">
        <v>63</v>
      </c>
      <c r="L24" s="7">
        <v>49521</v>
      </c>
      <c r="M24" s="4">
        <v>4</v>
      </c>
      <c r="N24" s="8">
        <v>1.03</v>
      </c>
      <c r="O24" s="6">
        <v>114868.3398</v>
      </c>
      <c r="P24" s="6">
        <v>91270.129799999995</v>
      </c>
      <c r="Q24" s="6">
        <v>91270.129799999995</v>
      </c>
      <c r="R24" s="9">
        <v>1</v>
      </c>
      <c r="S24" s="9">
        <v>2023</v>
      </c>
    </row>
    <row r="25" spans="1:19" x14ac:dyDescent="0.2">
      <c r="A25" s="10" t="s">
        <v>76</v>
      </c>
      <c r="B25" s="11">
        <v>44533</v>
      </c>
      <c r="C25" s="10" t="s">
        <v>22</v>
      </c>
      <c r="D25" s="12">
        <v>654327.44999999995</v>
      </c>
      <c r="E25" s="10" t="s">
        <v>23</v>
      </c>
      <c r="F25" s="12">
        <v>673030.17999999993</v>
      </c>
      <c r="G25" s="12">
        <v>5000000</v>
      </c>
      <c r="H25" s="12">
        <v>18702.73</v>
      </c>
      <c r="I25" s="10" t="s">
        <v>24</v>
      </c>
      <c r="J25" s="10" t="s">
        <v>30</v>
      </c>
      <c r="K25" s="10" t="s">
        <v>77</v>
      </c>
      <c r="L25" s="13">
        <v>32759</v>
      </c>
      <c r="M25" s="10">
        <v>7</v>
      </c>
      <c r="N25" s="14">
        <v>1.071612</v>
      </c>
      <c r="O25" s="12">
        <v>721227.21725015994</v>
      </c>
      <c r="P25" s="12">
        <v>702524.48725015996</v>
      </c>
      <c r="Q25" s="12">
        <v>702524.48725015996</v>
      </c>
      <c r="R25" s="15">
        <v>1</v>
      </c>
      <c r="S25" s="15">
        <v>2021</v>
      </c>
    </row>
    <row r="26" spans="1:19" x14ac:dyDescent="0.2">
      <c r="A26" s="4" t="s">
        <v>78</v>
      </c>
      <c r="B26" s="5">
        <v>43993</v>
      </c>
      <c r="C26" s="4" t="s">
        <v>33</v>
      </c>
      <c r="D26" s="6">
        <v>231548.73</v>
      </c>
      <c r="E26" s="4" t="s">
        <v>39</v>
      </c>
      <c r="F26" s="6">
        <v>268477.11</v>
      </c>
      <c r="G26" s="6">
        <v>500000</v>
      </c>
      <c r="H26" s="6">
        <v>36928.379999999997</v>
      </c>
      <c r="I26" s="4" t="s">
        <v>34</v>
      </c>
      <c r="J26" s="4" t="s">
        <v>41</v>
      </c>
      <c r="K26" s="4" t="s">
        <v>36</v>
      </c>
      <c r="L26" s="7">
        <v>52873</v>
      </c>
      <c r="M26" s="4">
        <v>5</v>
      </c>
      <c r="N26" s="8">
        <v>1.1037603600000001</v>
      </c>
      <c r="O26" s="6">
        <v>296334.39158535958</v>
      </c>
      <c r="P26" s="6">
        <v>259406.01158535961</v>
      </c>
      <c r="Q26" s="6">
        <v>259406.01158535961</v>
      </c>
      <c r="R26" s="9">
        <v>1</v>
      </c>
      <c r="S26" s="9">
        <v>2020</v>
      </c>
    </row>
    <row r="27" spans="1:19" x14ac:dyDescent="0.2">
      <c r="A27" s="10" t="s">
        <v>79</v>
      </c>
      <c r="B27" s="11">
        <v>43695</v>
      </c>
      <c r="C27" s="10" t="s">
        <v>38</v>
      </c>
      <c r="D27" s="12">
        <v>194738.52</v>
      </c>
      <c r="E27" s="10" t="s">
        <v>45</v>
      </c>
      <c r="F27" s="12">
        <v>210177.79</v>
      </c>
      <c r="G27" s="12">
        <v>500000</v>
      </c>
      <c r="H27" s="12">
        <v>15439.27</v>
      </c>
      <c r="I27" s="10" t="s">
        <v>40</v>
      </c>
      <c r="J27" s="10" t="s">
        <v>25</v>
      </c>
      <c r="K27" s="10" t="s">
        <v>42</v>
      </c>
      <c r="L27" s="13">
        <v>57742</v>
      </c>
      <c r="M27" s="10">
        <v>8</v>
      </c>
      <c r="N27" s="14">
        <v>1.1479107743999999</v>
      </c>
      <c r="O27" s="12">
        <v>241265.34968058049</v>
      </c>
      <c r="P27" s="12">
        <v>225826.0796805805</v>
      </c>
      <c r="Q27" s="12">
        <v>225826.0796805805</v>
      </c>
      <c r="R27" s="15">
        <v>1</v>
      </c>
      <c r="S27" s="15">
        <v>2019</v>
      </c>
    </row>
    <row r="28" spans="1:19" x14ac:dyDescent="0.2">
      <c r="A28" s="4" t="s">
        <v>80</v>
      </c>
      <c r="B28" s="5">
        <v>44818</v>
      </c>
      <c r="C28" s="4" t="s">
        <v>28</v>
      </c>
      <c r="D28" s="6">
        <v>872394.65</v>
      </c>
      <c r="E28" s="4" t="s">
        <v>23</v>
      </c>
      <c r="F28" s="6">
        <v>896897.03</v>
      </c>
      <c r="G28" s="6">
        <v>10000000</v>
      </c>
      <c r="H28" s="6">
        <v>24502.38</v>
      </c>
      <c r="I28" s="4" t="s">
        <v>24</v>
      </c>
      <c r="J28" s="4" t="s">
        <v>35</v>
      </c>
      <c r="K28" s="4" t="s">
        <v>31</v>
      </c>
      <c r="L28" s="7">
        <v>17697</v>
      </c>
      <c r="M28" s="4">
        <v>2</v>
      </c>
      <c r="N28" s="8">
        <v>1.0506</v>
      </c>
      <c r="O28" s="6">
        <v>942280.01971799997</v>
      </c>
      <c r="P28" s="6">
        <v>917777.63971799996</v>
      </c>
      <c r="Q28" s="6">
        <v>917777.63971799996</v>
      </c>
      <c r="R28" s="9">
        <v>1</v>
      </c>
      <c r="S28" s="9">
        <v>2022</v>
      </c>
    </row>
    <row r="29" spans="1:19" x14ac:dyDescent="0.2">
      <c r="A29" s="10" t="s">
        <v>81</v>
      </c>
      <c r="B29" s="11">
        <v>43223</v>
      </c>
      <c r="C29" s="10" t="s">
        <v>22</v>
      </c>
      <c r="D29" s="12">
        <v>508739.15</v>
      </c>
      <c r="E29" s="10" t="s">
        <v>23</v>
      </c>
      <c r="F29" s="12">
        <v>520721.69</v>
      </c>
      <c r="G29" s="12">
        <v>5000000</v>
      </c>
      <c r="H29" s="12">
        <v>11982.54</v>
      </c>
      <c r="I29" s="10" t="s">
        <v>29</v>
      </c>
      <c r="J29" s="10" t="s">
        <v>50</v>
      </c>
      <c r="K29" s="10" t="s">
        <v>26</v>
      </c>
      <c r="L29" s="13">
        <v>92519</v>
      </c>
      <c r="M29" s="10">
        <v>3</v>
      </c>
      <c r="N29" s="14">
        <v>1.2053063131199999</v>
      </c>
      <c r="O29" s="12">
        <v>627629.14033551549</v>
      </c>
      <c r="P29" s="12">
        <v>615646.60033551545</v>
      </c>
      <c r="Q29" s="12">
        <v>615646.60033551545</v>
      </c>
      <c r="R29" s="15">
        <v>1</v>
      </c>
      <c r="S29" s="15">
        <v>2018</v>
      </c>
    </row>
    <row r="30" spans="1:19" x14ac:dyDescent="0.2">
      <c r="A30" s="4" t="s">
        <v>82</v>
      </c>
      <c r="B30" s="5">
        <v>44497</v>
      </c>
      <c r="C30" s="4" t="s">
        <v>33</v>
      </c>
      <c r="D30" s="6">
        <v>376234.78</v>
      </c>
      <c r="E30" s="4" t="s">
        <v>23</v>
      </c>
      <c r="F30" s="6">
        <v>405983.4</v>
      </c>
      <c r="G30" s="6">
        <v>2000000</v>
      </c>
      <c r="H30" s="6">
        <v>29748.62</v>
      </c>
      <c r="I30" s="4" t="s">
        <v>34</v>
      </c>
      <c r="J30" s="4" t="s">
        <v>25</v>
      </c>
      <c r="K30" s="4" t="s">
        <v>61</v>
      </c>
      <c r="L30" s="7">
        <v>41789</v>
      </c>
      <c r="M30" s="4">
        <v>7</v>
      </c>
      <c r="N30" s="8">
        <v>1.071612</v>
      </c>
      <c r="O30" s="6">
        <v>435056.68324079999</v>
      </c>
      <c r="P30" s="6">
        <v>405308.06324080011</v>
      </c>
      <c r="Q30" s="6">
        <v>405308.06324080011</v>
      </c>
      <c r="R30" s="9">
        <v>1</v>
      </c>
      <c r="S30" s="9">
        <v>2021</v>
      </c>
    </row>
    <row r="31" spans="1:19" x14ac:dyDescent="0.2">
      <c r="A31" s="10" t="s">
        <v>83</v>
      </c>
      <c r="B31" s="11">
        <v>43937</v>
      </c>
      <c r="C31" s="10" t="s">
        <v>38</v>
      </c>
      <c r="D31" s="12">
        <v>129803.75</v>
      </c>
      <c r="E31" s="10" t="s">
        <v>45</v>
      </c>
      <c r="F31" s="12">
        <v>162723.88</v>
      </c>
      <c r="G31" s="12">
        <v>1000000</v>
      </c>
      <c r="H31" s="12">
        <v>32920.129999999997</v>
      </c>
      <c r="I31" s="10" t="s">
        <v>40</v>
      </c>
      <c r="J31" s="10" t="s">
        <v>41</v>
      </c>
      <c r="K31" s="10" t="s">
        <v>84</v>
      </c>
      <c r="L31" s="13">
        <v>79192</v>
      </c>
      <c r="M31" s="10">
        <v>4</v>
      </c>
      <c r="N31" s="14">
        <v>1.1037603600000001</v>
      </c>
      <c r="O31" s="12">
        <v>179608.16836939679</v>
      </c>
      <c r="P31" s="12">
        <v>146688.03836939679</v>
      </c>
      <c r="Q31" s="12">
        <v>146688.03836939679</v>
      </c>
      <c r="R31" s="15">
        <v>1</v>
      </c>
      <c r="S31" s="15">
        <v>2020</v>
      </c>
    </row>
    <row r="32" spans="1:19" x14ac:dyDescent="0.2">
      <c r="A32" s="4" t="s">
        <v>85</v>
      </c>
      <c r="B32" s="5">
        <v>45114</v>
      </c>
      <c r="C32" s="4" t="s">
        <v>28</v>
      </c>
      <c r="D32" s="6">
        <v>731235.83999999997</v>
      </c>
      <c r="E32" s="4" t="s">
        <v>23</v>
      </c>
      <c r="F32" s="6">
        <v>750172.09</v>
      </c>
      <c r="G32" s="6">
        <v>5000000</v>
      </c>
      <c r="H32" s="6">
        <v>18936.25</v>
      </c>
      <c r="I32" s="4" t="s">
        <v>29</v>
      </c>
      <c r="J32" s="4" t="s">
        <v>30</v>
      </c>
      <c r="K32" s="4" t="s">
        <v>67</v>
      </c>
      <c r="L32" s="7">
        <v>70435</v>
      </c>
      <c r="M32" s="4">
        <v>2</v>
      </c>
      <c r="N32" s="8">
        <v>1.03</v>
      </c>
      <c r="O32" s="6">
        <v>772677.25269999995</v>
      </c>
      <c r="P32" s="6">
        <v>753741.00269999995</v>
      </c>
      <c r="Q32" s="6">
        <v>753741.00269999995</v>
      </c>
      <c r="R32" s="9">
        <v>1</v>
      </c>
      <c r="S32" s="9">
        <v>2023</v>
      </c>
    </row>
    <row r="33" spans="1:19" x14ac:dyDescent="0.2">
      <c r="A33" s="10" t="s">
        <v>86</v>
      </c>
      <c r="B33" s="11">
        <v>43487</v>
      </c>
      <c r="C33" s="10" t="s">
        <v>22</v>
      </c>
      <c r="D33" s="12">
        <v>158924.78</v>
      </c>
      <c r="E33" s="10" t="s">
        <v>23</v>
      </c>
      <c r="F33" s="12">
        <v>174653.73</v>
      </c>
      <c r="G33" s="12">
        <v>1000000</v>
      </c>
      <c r="H33" s="12">
        <v>15728.95</v>
      </c>
      <c r="I33" s="10" t="s">
        <v>24</v>
      </c>
      <c r="J33" s="10" t="s">
        <v>50</v>
      </c>
      <c r="K33" s="10" t="s">
        <v>69</v>
      </c>
      <c r="L33" s="13">
        <v>67766</v>
      </c>
      <c r="M33" s="10">
        <v>6</v>
      </c>
      <c r="N33" s="14">
        <v>1.1479107743999999</v>
      </c>
      <c r="O33" s="12">
        <v>200486.89845614851</v>
      </c>
      <c r="P33" s="12">
        <v>184757.9484561485</v>
      </c>
      <c r="Q33" s="12">
        <v>184757.9484561485</v>
      </c>
      <c r="R33" s="15">
        <v>1</v>
      </c>
      <c r="S33" s="15">
        <v>2019</v>
      </c>
    </row>
    <row r="34" spans="1:19" x14ac:dyDescent="0.2">
      <c r="A34" s="4" t="s">
        <v>87</v>
      </c>
      <c r="B34" s="5">
        <v>44874</v>
      </c>
      <c r="C34" s="4" t="s">
        <v>33</v>
      </c>
      <c r="D34" s="6">
        <v>439832.24</v>
      </c>
      <c r="E34" s="4" t="s">
        <v>23</v>
      </c>
      <c r="F34" s="6">
        <v>471636.18</v>
      </c>
      <c r="G34" s="6">
        <v>2000000</v>
      </c>
      <c r="H34" s="6">
        <v>31803.94</v>
      </c>
      <c r="I34" s="4" t="s">
        <v>34</v>
      </c>
      <c r="J34" s="4" t="s">
        <v>30</v>
      </c>
      <c r="K34" s="4" t="s">
        <v>88</v>
      </c>
      <c r="L34" s="7">
        <v>20507</v>
      </c>
      <c r="M34" s="4">
        <v>8</v>
      </c>
      <c r="N34" s="8">
        <v>1.0506</v>
      </c>
      <c r="O34" s="6">
        <v>495500.97070800001</v>
      </c>
      <c r="P34" s="6">
        <v>463697.03070800001</v>
      </c>
      <c r="Q34" s="6">
        <v>463697.03070800001</v>
      </c>
      <c r="R34" s="9">
        <v>1</v>
      </c>
      <c r="S34" s="9">
        <v>2022</v>
      </c>
    </row>
    <row r="35" spans="1:19" x14ac:dyDescent="0.2">
      <c r="A35" s="10" t="s">
        <v>89</v>
      </c>
      <c r="B35" s="11">
        <v>44056</v>
      </c>
      <c r="C35" s="10" t="s">
        <v>38</v>
      </c>
      <c r="D35" s="12">
        <v>690239.58</v>
      </c>
      <c r="E35" s="10" t="s">
        <v>45</v>
      </c>
      <c r="F35" s="12">
        <v>717632.12</v>
      </c>
      <c r="G35" s="12">
        <v>5000000</v>
      </c>
      <c r="H35" s="12">
        <v>27392.54</v>
      </c>
      <c r="I35" s="10" t="s">
        <v>40</v>
      </c>
      <c r="J35" s="10" t="s">
        <v>35</v>
      </c>
      <c r="K35" s="10" t="s">
        <v>48</v>
      </c>
      <c r="L35" s="13">
        <v>68925</v>
      </c>
      <c r="M35" s="10">
        <v>7</v>
      </c>
      <c r="N35" s="14">
        <v>1.1037603600000001</v>
      </c>
      <c r="O35" s="12">
        <v>792093.88711876329</v>
      </c>
      <c r="P35" s="12">
        <v>764701.34711876325</v>
      </c>
      <c r="Q35" s="12">
        <v>764701.34711876325</v>
      </c>
      <c r="R35" s="15">
        <v>1</v>
      </c>
      <c r="S35" s="15">
        <v>2020</v>
      </c>
    </row>
    <row r="36" spans="1:19" x14ac:dyDescent="0.2">
      <c r="A36" s="4" t="s">
        <v>90</v>
      </c>
      <c r="B36" s="5">
        <v>44350</v>
      </c>
      <c r="C36" s="4" t="s">
        <v>44</v>
      </c>
      <c r="D36" s="6">
        <v>215983.48</v>
      </c>
      <c r="E36" s="4" t="s">
        <v>23</v>
      </c>
      <c r="F36" s="6">
        <v>236967.86</v>
      </c>
      <c r="G36" s="6">
        <v>2000000</v>
      </c>
      <c r="H36" s="6">
        <v>20984.38</v>
      </c>
      <c r="I36" s="4" t="s">
        <v>29</v>
      </c>
      <c r="J36" s="4" t="s">
        <v>25</v>
      </c>
      <c r="K36" s="4" t="s">
        <v>65</v>
      </c>
      <c r="L36" s="7">
        <v>46186</v>
      </c>
      <c r="M36" s="4">
        <v>4</v>
      </c>
      <c r="N36" s="8">
        <v>1.071612</v>
      </c>
      <c r="O36" s="6">
        <v>253937.60239032001</v>
      </c>
      <c r="P36" s="6">
        <v>232953.22239032001</v>
      </c>
      <c r="Q36" s="6">
        <v>232953.22239032001</v>
      </c>
      <c r="R36" s="9">
        <v>1</v>
      </c>
      <c r="S36" s="9">
        <v>2021</v>
      </c>
    </row>
    <row r="37" spans="1:19" x14ac:dyDescent="0.2">
      <c r="A37" s="10" t="s">
        <v>91</v>
      </c>
      <c r="B37" s="11">
        <v>43785</v>
      </c>
      <c r="C37" s="10" t="s">
        <v>22</v>
      </c>
      <c r="D37" s="12">
        <v>507983.42</v>
      </c>
      <c r="E37" s="10" t="s">
        <v>39</v>
      </c>
      <c r="F37" s="12">
        <v>543166.67999999993</v>
      </c>
      <c r="G37" s="12">
        <v>5000000</v>
      </c>
      <c r="H37" s="12">
        <v>35183.26</v>
      </c>
      <c r="I37" s="10" t="s">
        <v>24</v>
      </c>
      <c r="J37" s="10" t="s">
        <v>41</v>
      </c>
      <c r="K37" s="10" t="s">
        <v>55</v>
      </c>
      <c r="L37" s="13">
        <v>55687</v>
      </c>
      <c r="M37" s="10">
        <v>2</v>
      </c>
      <c r="N37" s="14">
        <v>1.1479107743999999</v>
      </c>
      <c r="O37" s="12">
        <v>623506.88426707685</v>
      </c>
      <c r="P37" s="12">
        <v>588323.62426707684</v>
      </c>
      <c r="Q37" s="12">
        <v>588323.62426707684</v>
      </c>
      <c r="R37" s="15">
        <v>1</v>
      </c>
      <c r="S37" s="15">
        <v>2019</v>
      </c>
    </row>
    <row r="38" spans="1:19" x14ac:dyDescent="0.2">
      <c r="A38" s="4" t="s">
        <v>92</v>
      </c>
      <c r="B38" s="5">
        <v>43463</v>
      </c>
      <c r="C38" s="4" t="s">
        <v>33</v>
      </c>
      <c r="D38" s="6">
        <v>451973.22</v>
      </c>
      <c r="E38" s="4" t="s">
        <v>23</v>
      </c>
      <c r="F38" s="6">
        <v>480319.12999999989</v>
      </c>
      <c r="G38" s="6">
        <v>500000</v>
      </c>
      <c r="H38" s="6">
        <v>28345.91</v>
      </c>
      <c r="I38" s="4" t="s">
        <v>34</v>
      </c>
      <c r="J38" s="4" t="s">
        <v>35</v>
      </c>
      <c r="K38" s="4" t="s">
        <v>53</v>
      </c>
      <c r="L38" s="7">
        <v>43504</v>
      </c>
      <c r="M38" s="4">
        <v>4</v>
      </c>
      <c r="N38" s="8">
        <v>1.2053063131199999</v>
      </c>
      <c r="O38" s="6">
        <v>578931.67970130593</v>
      </c>
      <c r="P38" s="6">
        <v>550585.76970130589</v>
      </c>
      <c r="Q38" s="6">
        <v>500000</v>
      </c>
      <c r="R38" s="9">
        <v>1</v>
      </c>
      <c r="S38" s="9">
        <v>2018</v>
      </c>
    </row>
    <row r="39" spans="1:19" x14ac:dyDescent="0.2">
      <c r="A39" s="10" t="s">
        <v>93</v>
      </c>
      <c r="B39" s="11">
        <v>44423</v>
      </c>
      <c r="C39" s="10" t="s">
        <v>28</v>
      </c>
      <c r="D39" s="12">
        <v>289524.33</v>
      </c>
      <c r="E39" s="10" t="s">
        <v>23</v>
      </c>
      <c r="F39" s="12">
        <v>314363.61</v>
      </c>
      <c r="G39" s="12">
        <v>2000000</v>
      </c>
      <c r="H39" s="12">
        <v>24839.279999999999</v>
      </c>
      <c r="I39" s="10" t="s">
        <v>29</v>
      </c>
      <c r="J39" s="10" t="s">
        <v>30</v>
      </c>
      <c r="K39" s="10" t="s">
        <v>59</v>
      </c>
      <c r="L39" s="13">
        <v>17387</v>
      </c>
      <c r="M39" s="10">
        <v>3</v>
      </c>
      <c r="N39" s="14">
        <v>1.071612</v>
      </c>
      <c r="O39" s="12">
        <v>336875.81683932</v>
      </c>
      <c r="P39" s="12">
        <v>312036.53683931998</v>
      </c>
      <c r="Q39" s="12">
        <v>312036.53683931998</v>
      </c>
      <c r="R39" s="15">
        <v>1</v>
      </c>
      <c r="S39" s="15">
        <v>2021</v>
      </c>
    </row>
    <row r="40" spans="1:19" x14ac:dyDescent="0.2">
      <c r="A40" s="4" t="s">
        <v>94</v>
      </c>
      <c r="B40" s="5">
        <v>43867</v>
      </c>
      <c r="C40" s="4" t="s">
        <v>38</v>
      </c>
      <c r="D40" s="6">
        <v>674832.75</v>
      </c>
      <c r="E40" s="4" t="s">
        <v>39</v>
      </c>
      <c r="F40" s="6">
        <v>716116.29</v>
      </c>
      <c r="G40" s="6">
        <v>5000000</v>
      </c>
      <c r="H40" s="6">
        <v>41283.54</v>
      </c>
      <c r="I40" s="4" t="s">
        <v>40</v>
      </c>
      <c r="J40" s="4" t="s">
        <v>41</v>
      </c>
      <c r="K40" s="4" t="s">
        <v>46</v>
      </c>
      <c r="L40" s="7">
        <v>70335</v>
      </c>
      <c r="M40" s="4">
        <v>5</v>
      </c>
      <c r="N40" s="8">
        <v>1.1037603600000001</v>
      </c>
      <c r="O40" s="6">
        <v>790420.77405226452</v>
      </c>
      <c r="P40" s="6">
        <v>749137.23405226448</v>
      </c>
      <c r="Q40" s="6">
        <v>749137.23405226448</v>
      </c>
      <c r="R40" s="9">
        <v>1</v>
      </c>
      <c r="S40" s="9">
        <v>2020</v>
      </c>
    </row>
    <row r="41" spans="1:19" x14ac:dyDescent="0.2">
      <c r="A41" s="10" t="s">
        <v>95</v>
      </c>
      <c r="B41" s="11">
        <v>45027</v>
      </c>
      <c r="C41" s="10" t="s">
        <v>44</v>
      </c>
      <c r="D41" s="12">
        <v>289523.34000000003</v>
      </c>
      <c r="E41" s="10" t="s">
        <v>45</v>
      </c>
      <c r="F41" s="12">
        <v>316918.08</v>
      </c>
      <c r="G41" s="12">
        <v>2000000</v>
      </c>
      <c r="H41" s="12">
        <v>27394.74</v>
      </c>
      <c r="I41" s="10" t="s">
        <v>24</v>
      </c>
      <c r="J41" s="10" t="s">
        <v>50</v>
      </c>
      <c r="K41" s="10" t="s">
        <v>77</v>
      </c>
      <c r="L41" s="13">
        <v>24426</v>
      </c>
      <c r="M41" s="10">
        <v>8</v>
      </c>
      <c r="N41" s="14">
        <v>1.03</v>
      </c>
      <c r="O41" s="12">
        <v>326425.62240000011</v>
      </c>
      <c r="P41" s="12">
        <v>299030.88240000012</v>
      </c>
      <c r="Q41" s="12">
        <v>299030.88240000012</v>
      </c>
      <c r="R41" s="15">
        <v>1</v>
      </c>
      <c r="S41" s="15">
        <v>2023</v>
      </c>
    </row>
    <row r="42" spans="1:19" x14ac:dyDescent="0.2">
      <c r="A42" s="4" t="s">
        <v>96</v>
      </c>
      <c r="B42" s="5">
        <v>44571</v>
      </c>
      <c r="C42" s="4" t="s">
        <v>22</v>
      </c>
      <c r="D42" s="6">
        <v>492783.45</v>
      </c>
      <c r="E42" s="4" t="s">
        <v>23</v>
      </c>
      <c r="F42" s="6">
        <v>512067.73</v>
      </c>
      <c r="G42" s="6">
        <v>2000000</v>
      </c>
      <c r="H42" s="6">
        <v>19284.28</v>
      </c>
      <c r="I42" s="4" t="s">
        <v>29</v>
      </c>
      <c r="J42" s="4" t="s">
        <v>25</v>
      </c>
      <c r="K42" s="4" t="s">
        <v>51</v>
      </c>
      <c r="L42" s="7">
        <v>54928</v>
      </c>
      <c r="M42" s="4">
        <v>6</v>
      </c>
      <c r="N42" s="8">
        <v>1.0506</v>
      </c>
      <c r="O42" s="6">
        <v>537978.35713799996</v>
      </c>
      <c r="P42" s="6">
        <v>518694.07713799988</v>
      </c>
      <c r="Q42" s="6">
        <v>518694.07713799988</v>
      </c>
      <c r="R42" s="9">
        <v>1</v>
      </c>
      <c r="S42" s="9">
        <v>2022</v>
      </c>
    </row>
    <row r="43" spans="1:19" x14ac:dyDescent="0.2">
      <c r="A43" s="10" t="s">
        <v>97</v>
      </c>
      <c r="B43" s="11">
        <v>43711</v>
      </c>
      <c r="C43" s="10" t="s">
        <v>33</v>
      </c>
      <c r="D43" s="12">
        <v>812739.57</v>
      </c>
      <c r="E43" s="10" t="s">
        <v>23</v>
      </c>
      <c r="F43" s="12">
        <v>851033.0199999999</v>
      </c>
      <c r="G43" s="12">
        <v>5000000</v>
      </c>
      <c r="H43" s="12">
        <v>38293.449999999997</v>
      </c>
      <c r="I43" s="10" t="s">
        <v>34</v>
      </c>
      <c r="J43" s="10" t="s">
        <v>50</v>
      </c>
      <c r="K43" s="10" t="s">
        <v>84</v>
      </c>
      <c r="L43" s="13">
        <v>79074</v>
      </c>
      <c r="M43" s="10">
        <v>7</v>
      </c>
      <c r="N43" s="14">
        <v>1.1479107743999999</v>
      </c>
      <c r="O43" s="12">
        <v>976909.97302817053</v>
      </c>
      <c r="P43" s="12">
        <v>938616.52302817057</v>
      </c>
      <c r="Q43" s="12">
        <v>938616.52302817057</v>
      </c>
      <c r="R43" s="15">
        <v>1</v>
      </c>
      <c r="S43" s="15">
        <v>2019</v>
      </c>
    </row>
    <row r="44" spans="1:19" x14ac:dyDescent="0.2">
      <c r="A44" s="4" t="s">
        <v>98</v>
      </c>
      <c r="B44" s="5">
        <v>44514</v>
      </c>
      <c r="C44" s="4" t="s">
        <v>38</v>
      </c>
      <c r="D44" s="6">
        <v>523987.21</v>
      </c>
      <c r="E44" s="4" t="s">
        <v>39</v>
      </c>
      <c r="F44" s="6">
        <v>549880.48</v>
      </c>
      <c r="G44" s="6">
        <v>5000000</v>
      </c>
      <c r="H44" s="6">
        <v>25893.27</v>
      </c>
      <c r="I44" s="4" t="s">
        <v>40</v>
      </c>
      <c r="J44" s="4" t="s">
        <v>30</v>
      </c>
      <c r="K44" s="4" t="s">
        <v>57</v>
      </c>
      <c r="L44" s="7">
        <v>83171</v>
      </c>
      <c r="M44" s="4">
        <v>2</v>
      </c>
      <c r="N44" s="8">
        <v>1.071612</v>
      </c>
      <c r="O44" s="6">
        <v>589258.52093375998</v>
      </c>
      <c r="P44" s="6">
        <v>563365.25093375996</v>
      </c>
      <c r="Q44" s="6">
        <v>563365.25093375996</v>
      </c>
      <c r="R44" s="9">
        <v>1</v>
      </c>
      <c r="S44" s="9">
        <v>2021</v>
      </c>
    </row>
    <row r="45" spans="1:19" x14ac:dyDescent="0.2">
      <c r="A45" s="10" t="s">
        <v>99</v>
      </c>
      <c r="B45" s="11">
        <v>44985</v>
      </c>
      <c r="C45" s="10" t="s">
        <v>28</v>
      </c>
      <c r="D45" s="12">
        <v>392873.65</v>
      </c>
      <c r="E45" s="10" t="s">
        <v>23</v>
      </c>
      <c r="F45" s="12">
        <v>424721.1</v>
      </c>
      <c r="G45" s="12">
        <v>2000000</v>
      </c>
      <c r="H45" s="12">
        <v>31847.45</v>
      </c>
      <c r="I45" s="10" t="s">
        <v>29</v>
      </c>
      <c r="J45" s="10" t="s">
        <v>35</v>
      </c>
      <c r="K45" s="10" t="s">
        <v>31</v>
      </c>
      <c r="L45" s="13">
        <v>75774</v>
      </c>
      <c r="M45" s="10">
        <v>5</v>
      </c>
      <c r="N45" s="14">
        <v>1.03</v>
      </c>
      <c r="O45" s="12">
        <v>437462.73300000012</v>
      </c>
      <c r="P45" s="12">
        <v>405615.28300000011</v>
      </c>
      <c r="Q45" s="12">
        <v>405615.28300000011</v>
      </c>
      <c r="R45" s="15">
        <v>1</v>
      </c>
      <c r="S45" s="15">
        <v>2023</v>
      </c>
    </row>
    <row r="46" spans="1:19" x14ac:dyDescent="0.2">
      <c r="A46" s="4" t="s">
        <v>100</v>
      </c>
      <c r="B46" s="5">
        <v>44033</v>
      </c>
      <c r="C46" s="4" t="s">
        <v>44</v>
      </c>
      <c r="D46" s="6">
        <v>539278.54</v>
      </c>
      <c r="E46" s="4" t="s">
        <v>23</v>
      </c>
      <c r="F46" s="6">
        <v>557573.29</v>
      </c>
      <c r="G46" s="6">
        <v>5000000</v>
      </c>
      <c r="H46" s="6">
        <v>18294.75</v>
      </c>
      <c r="I46" s="4" t="s">
        <v>24</v>
      </c>
      <c r="J46" s="4" t="s">
        <v>41</v>
      </c>
      <c r="K46" s="4" t="s">
        <v>71</v>
      </c>
      <c r="L46" s="7">
        <v>25267</v>
      </c>
      <c r="M46" s="4">
        <v>3</v>
      </c>
      <c r="N46" s="8">
        <v>1.1037603600000001</v>
      </c>
      <c r="O46" s="6">
        <v>615427.29529678449</v>
      </c>
      <c r="P46" s="6">
        <v>597132.54529678449</v>
      </c>
      <c r="Q46" s="6">
        <v>597132.54529678449</v>
      </c>
      <c r="R46" s="9">
        <v>1</v>
      </c>
      <c r="S46" s="9">
        <v>2020</v>
      </c>
    </row>
    <row r="47" spans="1:19" x14ac:dyDescent="0.2">
      <c r="A47" s="10" t="s">
        <v>101</v>
      </c>
      <c r="B47" s="11">
        <v>43178</v>
      </c>
      <c r="C47" s="10" t="s">
        <v>22</v>
      </c>
      <c r="D47" s="12">
        <v>283973.44</v>
      </c>
      <c r="E47" s="10" t="s">
        <v>39</v>
      </c>
      <c r="F47" s="12">
        <v>300456.98</v>
      </c>
      <c r="G47" s="12">
        <v>2000000</v>
      </c>
      <c r="H47" s="12">
        <v>16483.54</v>
      </c>
      <c r="I47" s="10" t="s">
        <v>24</v>
      </c>
      <c r="J47" s="10" t="s">
        <v>25</v>
      </c>
      <c r="K47" s="10" t="s">
        <v>26</v>
      </c>
      <c r="L47" s="13">
        <v>32571</v>
      </c>
      <c r="M47" s="10">
        <v>4</v>
      </c>
      <c r="N47" s="14">
        <v>1.2053063131199999</v>
      </c>
      <c r="O47" s="12">
        <v>362142.69481496961</v>
      </c>
      <c r="P47" s="12">
        <v>345659.15481496957</v>
      </c>
      <c r="Q47" s="12">
        <v>345659.15481496957</v>
      </c>
      <c r="R47" s="15">
        <v>1</v>
      </c>
      <c r="S47" s="15">
        <v>2018</v>
      </c>
    </row>
    <row r="48" spans="1:19" x14ac:dyDescent="0.2">
      <c r="A48" s="4" t="s">
        <v>102</v>
      </c>
      <c r="B48" s="5">
        <v>44738</v>
      </c>
      <c r="C48" s="4" t="s">
        <v>33</v>
      </c>
      <c r="D48" s="6">
        <v>482839.65</v>
      </c>
      <c r="E48" s="4" t="s">
        <v>23</v>
      </c>
      <c r="F48" s="6">
        <v>518138.29</v>
      </c>
      <c r="G48" s="6">
        <v>5000000</v>
      </c>
      <c r="H48" s="6">
        <v>35298.639999999999</v>
      </c>
      <c r="I48" s="4" t="s">
        <v>34</v>
      </c>
      <c r="J48" s="4" t="s">
        <v>50</v>
      </c>
      <c r="K48" s="4" t="s">
        <v>59</v>
      </c>
      <c r="L48" s="7">
        <v>85079</v>
      </c>
      <c r="M48" s="4">
        <v>1</v>
      </c>
      <c r="N48" s="8">
        <v>1.0506</v>
      </c>
      <c r="O48" s="6">
        <v>544356.08747400006</v>
      </c>
      <c r="P48" s="6">
        <v>509057.44747399999</v>
      </c>
      <c r="Q48" s="6">
        <v>509057.44747399999</v>
      </c>
      <c r="R48" s="9">
        <v>1</v>
      </c>
      <c r="S48" s="9">
        <v>2022</v>
      </c>
    </row>
    <row r="49" spans="1:19" x14ac:dyDescent="0.2">
      <c r="A49" s="10" t="s">
        <v>103</v>
      </c>
      <c r="B49" s="11">
        <v>44472</v>
      </c>
      <c r="C49" s="10" t="s">
        <v>38</v>
      </c>
      <c r="D49" s="12">
        <v>683482.94</v>
      </c>
      <c r="E49" s="10" t="s">
        <v>45</v>
      </c>
      <c r="F49" s="12">
        <v>716430.78999999992</v>
      </c>
      <c r="G49" s="12">
        <v>5000000</v>
      </c>
      <c r="H49" s="12">
        <v>32947.85</v>
      </c>
      <c r="I49" s="10" t="s">
        <v>40</v>
      </c>
      <c r="J49" s="10" t="s">
        <v>30</v>
      </c>
      <c r="K49" s="10" t="s">
        <v>48</v>
      </c>
      <c r="L49" s="13">
        <v>104459</v>
      </c>
      <c r="M49" s="10">
        <v>6</v>
      </c>
      <c r="N49" s="14">
        <v>1.071612</v>
      </c>
      <c r="O49" s="12">
        <v>767735.83173347998</v>
      </c>
      <c r="P49" s="12">
        <v>734787.98173348</v>
      </c>
      <c r="Q49" s="12">
        <v>734787.98173348</v>
      </c>
      <c r="R49" s="15">
        <v>1</v>
      </c>
      <c r="S49" s="15">
        <v>2021</v>
      </c>
    </row>
    <row r="50" spans="1:19" x14ac:dyDescent="0.2">
      <c r="A50" s="4" t="s">
        <v>104</v>
      </c>
      <c r="B50" s="5">
        <v>43847</v>
      </c>
      <c r="C50" s="4" t="s">
        <v>28</v>
      </c>
      <c r="D50" s="6">
        <v>783948.23</v>
      </c>
      <c r="E50" s="4" t="s">
        <v>23</v>
      </c>
      <c r="F50" s="6">
        <v>813530.62</v>
      </c>
      <c r="G50" s="6">
        <v>5000000</v>
      </c>
      <c r="H50" s="6">
        <v>29582.39</v>
      </c>
      <c r="I50" s="4" t="s">
        <v>29</v>
      </c>
      <c r="J50" s="4" t="s">
        <v>35</v>
      </c>
      <c r="K50" s="4" t="s">
        <v>67</v>
      </c>
      <c r="L50" s="7">
        <v>14635</v>
      </c>
      <c r="M50" s="4">
        <v>2</v>
      </c>
      <c r="N50" s="8">
        <v>1.1037603600000001</v>
      </c>
      <c r="O50" s="6">
        <v>897942.85000222328</v>
      </c>
      <c r="P50" s="6">
        <v>868360.46000222326</v>
      </c>
      <c r="Q50" s="6">
        <v>868360.46000222326</v>
      </c>
      <c r="R50" s="9">
        <v>1</v>
      </c>
      <c r="S50" s="9">
        <v>2020</v>
      </c>
    </row>
    <row r="51" spans="1:19" x14ac:dyDescent="0.2">
      <c r="A51" s="10" t="s">
        <v>105</v>
      </c>
      <c r="B51" s="11">
        <v>43560</v>
      </c>
      <c r="C51" s="10" t="s">
        <v>44</v>
      </c>
      <c r="D51" s="12">
        <v>239582.74</v>
      </c>
      <c r="E51" s="10" t="s">
        <v>23</v>
      </c>
      <c r="F51" s="12">
        <v>260976.97</v>
      </c>
      <c r="G51" s="12">
        <v>1000000</v>
      </c>
      <c r="H51" s="12">
        <v>21394.23</v>
      </c>
      <c r="I51" s="10" t="s">
        <v>24</v>
      </c>
      <c r="J51" s="10" t="s">
        <v>25</v>
      </c>
      <c r="K51" s="10" t="s">
        <v>36</v>
      </c>
      <c r="L51" s="13">
        <v>23399</v>
      </c>
      <c r="M51" s="10">
        <v>7</v>
      </c>
      <c r="N51" s="14">
        <v>1.1479107743999999</v>
      </c>
      <c r="O51" s="12">
        <v>299578.27573326562</v>
      </c>
      <c r="P51" s="12">
        <v>278184.04573326558</v>
      </c>
      <c r="Q51" s="12">
        <v>278184.04573326558</v>
      </c>
      <c r="R51" s="15">
        <v>1</v>
      </c>
      <c r="S51" s="15">
        <v>2019</v>
      </c>
    </row>
    <row r="52" spans="1:19" x14ac:dyDescent="0.2">
      <c r="A52" s="4" t="s">
        <v>106</v>
      </c>
      <c r="B52" s="5">
        <v>44916</v>
      </c>
      <c r="C52" s="4" t="s">
        <v>22</v>
      </c>
      <c r="D52" s="6">
        <v>294738.48</v>
      </c>
      <c r="E52" s="4" t="s">
        <v>23</v>
      </c>
      <c r="F52" s="6">
        <v>313686.01</v>
      </c>
      <c r="G52" s="6">
        <v>2000000</v>
      </c>
      <c r="H52" s="6">
        <v>18947.53</v>
      </c>
      <c r="I52" s="4" t="s">
        <v>29</v>
      </c>
      <c r="J52" s="4" t="s">
        <v>50</v>
      </c>
      <c r="K52" s="4" t="s">
        <v>55</v>
      </c>
      <c r="L52" s="7">
        <v>37602</v>
      </c>
      <c r="M52" s="4">
        <v>4</v>
      </c>
      <c r="N52" s="8">
        <v>1.0506</v>
      </c>
      <c r="O52" s="6">
        <v>329558.52210599999</v>
      </c>
      <c r="P52" s="6">
        <v>310610.99210600002</v>
      </c>
      <c r="Q52" s="6">
        <v>310610.99210600002</v>
      </c>
      <c r="R52" s="9">
        <v>1</v>
      </c>
      <c r="S52" s="9">
        <v>2022</v>
      </c>
    </row>
    <row r="53" spans="1:19" x14ac:dyDescent="0.2">
      <c r="A53" s="10" t="s">
        <v>107</v>
      </c>
      <c r="B53" s="11">
        <v>44230</v>
      </c>
      <c r="C53" s="10" t="s">
        <v>33</v>
      </c>
      <c r="D53" s="12">
        <v>583948.29</v>
      </c>
      <c r="E53" s="10" t="s">
        <v>23</v>
      </c>
      <c r="F53" s="12">
        <v>613232.67000000004</v>
      </c>
      <c r="G53" s="12">
        <v>5000000</v>
      </c>
      <c r="H53" s="12">
        <v>29284.38</v>
      </c>
      <c r="I53" s="10" t="s">
        <v>34</v>
      </c>
      <c r="J53" s="10" t="s">
        <v>41</v>
      </c>
      <c r="K53" s="10" t="s">
        <v>63</v>
      </c>
      <c r="L53" s="13">
        <v>24861</v>
      </c>
      <c r="M53" s="10">
        <v>9</v>
      </c>
      <c r="N53" s="14">
        <v>1.071612</v>
      </c>
      <c r="O53" s="12">
        <v>657147.48796404002</v>
      </c>
      <c r="P53" s="12">
        <v>627863.10796404001</v>
      </c>
      <c r="Q53" s="12">
        <v>627863.10796404001</v>
      </c>
      <c r="R53" s="15">
        <v>1</v>
      </c>
      <c r="S53" s="15">
        <v>2021</v>
      </c>
    </row>
    <row r="54" spans="1:19" x14ac:dyDescent="0.2">
      <c r="A54" s="4" t="s">
        <v>108</v>
      </c>
      <c r="B54" s="5">
        <v>43902</v>
      </c>
      <c r="C54" s="4" t="s">
        <v>38</v>
      </c>
      <c r="D54" s="6">
        <v>784839.21</v>
      </c>
      <c r="E54" s="4" t="s">
        <v>39</v>
      </c>
      <c r="F54" s="6">
        <v>823786.49</v>
      </c>
      <c r="G54" s="6">
        <v>5000000</v>
      </c>
      <c r="H54" s="6">
        <v>38947.279999999999</v>
      </c>
      <c r="I54" s="4" t="s">
        <v>40</v>
      </c>
      <c r="J54" s="4" t="s">
        <v>30</v>
      </c>
      <c r="K54" s="4" t="s">
        <v>53</v>
      </c>
      <c r="L54" s="7">
        <v>56084</v>
      </c>
      <c r="M54" s="4">
        <v>3</v>
      </c>
      <c r="N54" s="8">
        <v>1.1037603600000001</v>
      </c>
      <c r="O54" s="6">
        <v>909262.87276553642</v>
      </c>
      <c r="P54" s="6">
        <v>870315.59276553639</v>
      </c>
      <c r="Q54" s="6">
        <v>870315.59276553639</v>
      </c>
      <c r="R54" s="9">
        <v>1</v>
      </c>
      <c r="S54" s="9">
        <v>2020</v>
      </c>
    </row>
    <row r="55" spans="1:19" x14ac:dyDescent="0.2">
      <c r="A55" s="10" t="s">
        <v>109</v>
      </c>
      <c r="B55" s="11">
        <v>45115</v>
      </c>
      <c r="C55" s="10" t="s">
        <v>28</v>
      </c>
      <c r="D55" s="12">
        <v>398483.65</v>
      </c>
      <c r="E55" s="10" t="s">
        <v>23</v>
      </c>
      <c r="F55" s="12">
        <v>427431.03</v>
      </c>
      <c r="G55" s="12">
        <v>2000000</v>
      </c>
      <c r="H55" s="12">
        <v>28947.38</v>
      </c>
      <c r="I55" s="10" t="s">
        <v>29</v>
      </c>
      <c r="J55" s="10" t="s">
        <v>35</v>
      </c>
      <c r="K55" s="10" t="s">
        <v>51</v>
      </c>
      <c r="L55" s="13">
        <v>54692</v>
      </c>
      <c r="M55" s="10">
        <v>6</v>
      </c>
      <c r="N55" s="14">
        <v>1.03</v>
      </c>
      <c r="O55" s="12">
        <v>440253.96090000012</v>
      </c>
      <c r="P55" s="12">
        <v>411306.58090000012</v>
      </c>
      <c r="Q55" s="12">
        <v>411306.58090000012</v>
      </c>
      <c r="R55" s="15">
        <v>1</v>
      </c>
      <c r="S55" s="15">
        <v>2023</v>
      </c>
    </row>
    <row r="56" spans="1:19" x14ac:dyDescent="0.2">
      <c r="A56" s="4" t="s">
        <v>110</v>
      </c>
      <c r="B56" s="5">
        <v>43366</v>
      </c>
      <c r="C56" s="4" t="s">
        <v>44</v>
      </c>
      <c r="D56" s="6">
        <v>485739.23</v>
      </c>
      <c r="E56" s="4" t="s">
        <v>23</v>
      </c>
      <c r="F56" s="6">
        <v>503135.07</v>
      </c>
      <c r="G56" s="6">
        <v>5000000</v>
      </c>
      <c r="H56" s="6">
        <v>17395.84</v>
      </c>
      <c r="I56" s="4" t="s">
        <v>24</v>
      </c>
      <c r="J56" s="4" t="s">
        <v>50</v>
      </c>
      <c r="K56" s="4" t="s">
        <v>42</v>
      </c>
      <c r="L56" s="7">
        <v>9001</v>
      </c>
      <c r="M56" s="4">
        <v>8</v>
      </c>
      <c r="N56" s="8">
        <v>1.2053063131199999</v>
      </c>
      <c r="O56" s="6">
        <v>606431.87622307311</v>
      </c>
      <c r="P56" s="6">
        <v>589036.03622307314</v>
      </c>
      <c r="Q56" s="6">
        <v>589036.03622307314</v>
      </c>
      <c r="R56" s="9">
        <v>1</v>
      </c>
      <c r="S56" s="9">
        <v>2018</v>
      </c>
    </row>
    <row r="57" spans="1:19" x14ac:dyDescent="0.2">
      <c r="A57" s="10" t="s">
        <v>111</v>
      </c>
      <c r="B57" s="11">
        <v>43784</v>
      </c>
      <c r="C57" s="10" t="s">
        <v>22</v>
      </c>
      <c r="D57" s="12">
        <v>593849.48</v>
      </c>
      <c r="E57" s="10" t="s">
        <v>39</v>
      </c>
      <c r="F57" s="12">
        <v>632797.05999999994</v>
      </c>
      <c r="G57" s="12">
        <v>5000000</v>
      </c>
      <c r="H57" s="12">
        <v>38947.58</v>
      </c>
      <c r="I57" s="10" t="s">
        <v>29</v>
      </c>
      <c r="J57" s="10" t="s">
        <v>25</v>
      </c>
      <c r="K57" s="10" t="s">
        <v>31</v>
      </c>
      <c r="L57" s="13">
        <v>70014</v>
      </c>
      <c r="M57" s="10">
        <v>2</v>
      </c>
      <c r="N57" s="14">
        <v>1.1479107743999999</v>
      </c>
      <c r="O57" s="12">
        <v>726394.56318264315</v>
      </c>
      <c r="P57" s="12">
        <v>687446.98318264319</v>
      </c>
      <c r="Q57" s="12">
        <v>687446.98318264319</v>
      </c>
      <c r="R57" s="15">
        <v>1</v>
      </c>
      <c r="S57" s="15">
        <v>2019</v>
      </c>
    </row>
    <row r="58" spans="1:19" x14ac:dyDescent="0.2">
      <c r="A58" s="4" t="s">
        <v>112</v>
      </c>
      <c r="B58" s="5">
        <v>44785</v>
      </c>
      <c r="C58" s="4" t="s">
        <v>33</v>
      </c>
      <c r="D58" s="6">
        <v>683849.75</v>
      </c>
      <c r="E58" s="4" t="s">
        <v>23</v>
      </c>
      <c r="F58" s="6">
        <v>716797.2</v>
      </c>
      <c r="G58" s="6">
        <v>5000000</v>
      </c>
      <c r="H58" s="6">
        <v>32947.449999999997</v>
      </c>
      <c r="I58" s="4" t="s">
        <v>34</v>
      </c>
      <c r="J58" s="4" t="s">
        <v>41</v>
      </c>
      <c r="K58" s="4" t="s">
        <v>59</v>
      </c>
      <c r="L58" s="7">
        <v>58186</v>
      </c>
      <c r="M58" s="4">
        <v>3</v>
      </c>
      <c r="N58" s="8">
        <v>1.0506</v>
      </c>
      <c r="O58" s="6">
        <v>753067.13831999991</v>
      </c>
      <c r="P58" s="6">
        <v>720119.68831999996</v>
      </c>
      <c r="Q58" s="6">
        <v>720119.68831999996</v>
      </c>
      <c r="R58" s="9">
        <v>1</v>
      </c>
      <c r="S58" s="9">
        <v>2022</v>
      </c>
    </row>
    <row r="59" spans="1:19" x14ac:dyDescent="0.2">
      <c r="A59" s="10" t="s">
        <v>113</v>
      </c>
      <c r="B59" s="11">
        <v>44339</v>
      </c>
      <c r="C59" s="10" t="s">
        <v>38</v>
      </c>
      <c r="D59" s="12">
        <v>792483.56</v>
      </c>
      <c r="E59" s="10" t="s">
        <v>39</v>
      </c>
      <c r="F59" s="12">
        <v>827431.81</v>
      </c>
      <c r="G59" s="12">
        <v>5000000</v>
      </c>
      <c r="H59" s="12">
        <v>34948.25</v>
      </c>
      <c r="I59" s="10" t="s">
        <v>40</v>
      </c>
      <c r="J59" s="10" t="s">
        <v>30</v>
      </c>
      <c r="K59" s="10" t="s">
        <v>55</v>
      </c>
      <c r="L59" s="13">
        <v>65544</v>
      </c>
      <c r="M59" s="10">
        <v>7</v>
      </c>
      <c r="N59" s="14">
        <v>1.071612</v>
      </c>
      <c r="O59" s="12">
        <v>886685.85677772004</v>
      </c>
      <c r="P59" s="12">
        <v>851737.60677772004</v>
      </c>
      <c r="Q59" s="12">
        <v>851737.60677772004</v>
      </c>
      <c r="R59" s="15">
        <v>1</v>
      </c>
      <c r="S59" s="15">
        <v>2021</v>
      </c>
    </row>
    <row r="60" spans="1:19" x14ac:dyDescent="0.2">
      <c r="A60" s="4" t="s">
        <v>114</v>
      </c>
      <c r="B60" s="5">
        <v>44121</v>
      </c>
      <c r="C60" s="4" t="s">
        <v>28</v>
      </c>
      <c r="D60" s="6">
        <v>594837.93999999994</v>
      </c>
      <c r="E60" s="4" t="s">
        <v>23</v>
      </c>
      <c r="F60" s="6">
        <v>623785.5</v>
      </c>
      <c r="G60" s="6">
        <v>5000000</v>
      </c>
      <c r="H60" s="6">
        <v>28947.56</v>
      </c>
      <c r="I60" s="4" t="s">
        <v>29</v>
      </c>
      <c r="J60" s="4" t="s">
        <v>35</v>
      </c>
      <c r="K60" s="4" t="s">
        <v>57</v>
      </c>
      <c r="L60" s="7">
        <v>73600</v>
      </c>
      <c r="M60" s="4">
        <v>4</v>
      </c>
      <c r="N60" s="8">
        <v>1.1037603600000001</v>
      </c>
      <c r="O60" s="6">
        <v>688509.70804278005</v>
      </c>
      <c r="P60" s="6">
        <v>659562.14804278</v>
      </c>
      <c r="Q60" s="6">
        <v>659562.14804278</v>
      </c>
      <c r="R60" s="9">
        <v>1</v>
      </c>
      <c r="S60" s="9">
        <v>2020</v>
      </c>
    </row>
    <row r="61" spans="1:19" x14ac:dyDescent="0.2">
      <c r="A61" s="10" t="s">
        <v>115</v>
      </c>
      <c r="B61" s="11">
        <v>44998</v>
      </c>
      <c r="C61" s="10" t="s">
        <v>44</v>
      </c>
      <c r="D61" s="12">
        <v>472839.28</v>
      </c>
      <c r="E61" s="10" t="s">
        <v>23</v>
      </c>
      <c r="F61" s="12">
        <v>494777.76</v>
      </c>
      <c r="G61" s="12">
        <v>5000000</v>
      </c>
      <c r="H61" s="12">
        <v>21938.48</v>
      </c>
      <c r="I61" s="10" t="s">
        <v>24</v>
      </c>
      <c r="J61" s="10" t="s">
        <v>50</v>
      </c>
      <c r="K61" s="10" t="s">
        <v>48</v>
      </c>
      <c r="L61" s="13">
        <v>32963</v>
      </c>
      <c r="M61" s="10">
        <v>6</v>
      </c>
      <c r="N61" s="14">
        <v>1.03</v>
      </c>
      <c r="O61" s="12">
        <v>509621.09279999998</v>
      </c>
      <c r="P61" s="12">
        <v>487682.61280000012</v>
      </c>
      <c r="Q61" s="12">
        <v>487682.61280000012</v>
      </c>
      <c r="R61" s="15">
        <v>1</v>
      </c>
      <c r="S61" s="15">
        <v>2023</v>
      </c>
    </row>
    <row r="62" spans="1:19" x14ac:dyDescent="0.2">
      <c r="A62" s="4" t="s">
        <v>116</v>
      </c>
      <c r="B62" s="5">
        <v>43439</v>
      </c>
      <c r="C62" s="4" t="s">
        <v>22</v>
      </c>
      <c r="D62" s="6">
        <v>592483.44999999995</v>
      </c>
      <c r="E62" s="4" t="s">
        <v>39</v>
      </c>
      <c r="F62" s="6">
        <v>625430.82999999996</v>
      </c>
      <c r="G62" s="6">
        <v>2000000</v>
      </c>
      <c r="H62" s="6">
        <v>32947.379999999997</v>
      </c>
      <c r="I62" s="4" t="s">
        <v>29</v>
      </c>
      <c r="J62" s="4" t="s">
        <v>30</v>
      </c>
      <c r="K62" s="4" t="s">
        <v>26</v>
      </c>
      <c r="L62" s="7">
        <v>70706</v>
      </c>
      <c r="M62" s="4">
        <v>5</v>
      </c>
      <c r="N62" s="8">
        <v>1.2053063131199999</v>
      </c>
      <c r="O62" s="6">
        <v>753835.72781888139</v>
      </c>
      <c r="P62" s="6">
        <v>720888.34781888139</v>
      </c>
      <c r="Q62" s="6">
        <v>720888.34781888139</v>
      </c>
      <c r="R62" s="9">
        <v>1</v>
      </c>
      <c r="S62" s="9">
        <v>2018</v>
      </c>
    </row>
    <row r="63" spans="1:19" x14ac:dyDescent="0.2">
      <c r="A63" s="10" t="s">
        <v>117</v>
      </c>
      <c r="B63" s="11">
        <v>43645</v>
      </c>
      <c r="C63" s="10" t="s">
        <v>33</v>
      </c>
      <c r="D63" s="12">
        <v>839483.29</v>
      </c>
      <c r="E63" s="10" t="s">
        <v>23</v>
      </c>
      <c r="F63" s="12">
        <v>877431.67</v>
      </c>
      <c r="G63" s="12">
        <v>5000000</v>
      </c>
      <c r="H63" s="12">
        <v>37948.379999999997</v>
      </c>
      <c r="I63" s="10" t="s">
        <v>34</v>
      </c>
      <c r="J63" s="10" t="s">
        <v>41</v>
      </c>
      <c r="K63" s="10" t="s">
        <v>61</v>
      </c>
      <c r="L63" s="13">
        <v>34205</v>
      </c>
      <c r="M63" s="10">
        <v>3</v>
      </c>
      <c r="N63" s="14">
        <v>1.1479107743999999</v>
      </c>
      <c r="O63" s="12">
        <v>1007213.267792785</v>
      </c>
      <c r="P63" s="12">
        <v>969264.88779278519</v>
      </c>
      <c r="Q63" s="12">
        <v>969264.88779278519</v>
      </c>
      <c r="R63" s="15">
        <v>1</v>
      </c>
      <c r="S63" s="15">
        <v>2019</v>
      </c>
    </row>
    <row r="64" spans="1:19" x14ac:dyDescent="0.2">
      <c r="A64" s="4" t="s">
        <v>118</v>
      </c>
      <c r="B64" s="5">
        <v>44821</v>
      </c>
      <c r="C64" s="4" t="s">
        <v>38</v>
      </c>
      <c r="D64" s="6">
        <v>839483.58</v>
      </c>
      <c r="E64" s="4" t="s">
        <v>39</v>
      </c>
      <c r="F64" s="6">
        <v>878431.02999999991</v>
      </c>
      <c r="G64" s="6">
        <v>5000000</v>
      </c>
      <c r="H64" s="6">
        <v>38947.449999999997</v>
      </c>
      <c r="I64" s="4" t="s">
        <v>40</v>
      </c>
      <c r="J64" s="4" t="s">
        <v>50</v>
      </c>
      <c r="K64" s="4" t="s">
        <v>51</v>
      </c>
      <c r="L64" s="7">
        <v>91925</v>
      </c>
      <c r="M64" s="4">
        <v>4</v>
      </c>
      <c r="N64" s="8">
        <v>1.0506</v>
      </c>
      <c r="O64" s="6">
        <v>922879.64011799986</v>
      </c>
      <c r="P64" s="6">
        <v>883932.19011799991</v>
      </c>
      <c r="Q64" s="6">
        <v>883932.19011799991</v>
      </c>
      <c r="R64" s="9">
        <v>1</v>
      </c>
      <c r="S64" s="9">
        <v>2022</v>
      </c>
    </row>
    <row r="65" spans="1:19" x14ac:dyDescent="0.2">
      <c r="A65" s="10" t="s">
        <v>119</v>
      </c>
      <c r="B65" s="11">
        <v>44207</v>
      </c>
      <c r="C65" s="10" t="s">
        <v>28</v>
      </c>
      <c r="D65" s="12">
        <v>793849.23</v>
      </c>
      <c r="E65" s="10" t="s">
        <v>23</v>
      </c>
      <c r="F65" s="12">
        <v>823331.71</v>
      </c>
      <c r="G65" s="12">
        <v>5000000</v>
      </c>
      <c r="H65" s="12">
        <v>29482.48</v>
      </c>
      <c r="I65" s="10" t="s">
        <v>29</v>
      </c>
      <c r="J65" s="10" t="s">
        <v>35</v>
      </c>
      <c r="K65" s="10" t="s">
        <v>63</v>
      </c>
      <c r="L65" s="13">
        <v>30804</v>
      </c>
      <c r="M65" s="10">
        <v>7</v>
      </c>
      <c r="N65" s="14">
        <v>1.071612</v>
      </c>
      <c r="O65" s="12">
        <v>882292.14041651995</v>
      </c>
      <c r="P65" s="12">
        <v>852809.66041651997</v>
      </c>
      <c r="Q65" s="12">
        <v>852809.66041651997</v>
      </c>
      <c r="R65" s="15">
        <v>1</v>
      </c>
      <c r="S65" s="15">
        <v>2021</v>
      </c>
    </row>
    <row r="66" spans="1:19" x14ac:dyDescent="0.2">
      <c r="A66" s="4" t="s">
        <v>120</v>
      </c>
      <c r="B66" s="5">
        <v>43946</v>
      </c>
      <c r="C66" s="4" t="s">
        <v>44</v>
      </c>
      <c r="D66" s="6">
        <v>473839.25</v>
      </c>
      <c r="E66" s="4" t="s">
        <v>23</v>
      </c>
      <c r="F66" s="6">
        <v>501321.63</v>
      </c>
      <c r="G66" s="6">
        <v>5000000</v>
      </c>
      <c r="H66" s="6">
        <v>27482.38</v>
      </c>
      <c r="I66" s="4" t="s">
        <v>24</v>
      </c>
      <c r="J66" s="4" t="s">
        <v>41</v>
      </c>
      <c r="K66" s="4" t="s">
        <v>71</v>
      </c>
      <c r="L66" s="7">
        <v>37921</v>
      </c>
      <c r="M66" s="4">
        <v>6</v>
      </c>
      <c r="N66" s="8">
        <v>1.1037603600000001</v>
      </c>
      <c r="O66" s="6">
        <v>553338.94280458684</v>
      </c>
      <c r="P66" s="6">
        <v>525856.56280458684</v>
      </c>
      <c r="Q66" s="6">
        <v>525856.56280458684</v>
      </c>
      <c r="R66" s="9">
        <v>1</v>
      </c>
      <c r="S66" s="9">
        <v>2020</v>
      </c>
    </row>
    <row r="67" spans="1:19" x14ac:dyDescent="0.2">
      <c r="A67" s="10" t="s">
        <v>121</v>
      </c>
      <c r="B67" s="11">
        <v>43543</v>
      </c>
      <c r="C67" s="10" t="s">
        <v>22</v>
      </c>
      <c r="D67" s="12">
        <v>573849.48</v>
      </c>
      <c r="E67" s="10" t="s">
        <v>39</v>
      </c>
      <c r="F67" s="12">
        <v>606697.05999999994</v>
      </c>
      <c r="G67" s="12">
        <v>5000000</v>
      </c>
      <c r="H67" s="12">
        <v>32847.58</v>
      </c>
      <c r="I67" s="10" t="s">
        <v>29</v>
      </c>
      <c r="J67" s="10" t="s">
        <v>25</v>
      </c>
      <c r="K67" s="10" t="s">
        <v>55</v>
      </c>
      <c r="L67" s="13">
        <v>51681</v>
      </c>
      <c r="M67" s="10">
        <v>3</v>
      </c>
      <c r="N67" s="14">
        <v>1.1479107743999999</v>
      </c>
      <c r="O67" s="12">
        <v>696434.0919708031</v>
      </c>
      <c r="P67" s="12">
        <v>663586.51197080314</v>
      </c>
      <c r="Q67" s="12">
        <v>663586.51197080314</v>
      </c>
      <c r="R67" s="15">
        <v>1</v>
      </c>
      <c r="S67" s="15">
        <v>2019</v>
      </c>
    </row>
    <row r="68" spans="1:19" x14ac:dyDescent="0.2">
      <c r="A68" s="4" t="s">
        <v>122</v>
      </c>
      <c r="B68" s="5">
        <v>44959</v>
      </c>
      <c r="C68" s="4" t="s">
        <v>33</v>
      </c>
      <c r="D68" s="6">
        <v>683849.75</v>
      </c>
      <c r="E68" s="4" t="s">
        <v>23</v>
      </c>
      <c r="F68" s="6">
        <v>716797.2</v>
      </c>
      <c r="G68" s="6">
        <v>5000000</v>
      </c>
      <c r="H68" s="6">
        <v>32947.449999999997</v>
      </c>
      <c r="I68" s="4" t="s">
        <v>34</v>
      </c>
      <c r="J68" s="4" t="s">
        <v>30</v>
      </c>
      <c r="K68" s="4" t="s">
        <v>69</v>
      </c>
      <c r="L68" s="7">
        <v>87052</v>
      </c>
      <c r="M68" s="4">
        <v>2</v>
      </c>
      <c r="N68" s="8">
        <v>1.03</v>
      </c>
      <c r="O68" s="6">
        <v>738301.11599999992</v>
      </c>
      <c r="P68" s="6">
        <v>705353.66599999997</v>
      </c>
      <c r="Q68" s="6">
        <v>705353.66599999997</v>
      </c>
      <c r="R68" s="9">
        <v>1</v>
      </c>
      <c r="S68" s="9">
        <v>2023</v>
      </c>
    </row>
    <row r="69" spans="1:19" x14ac:dyDescent="0.2">
      <c r="A69" s="10" t="s">
        <v>123</v>
      </c>
      <c r="B69" s="11">
        <v>44753</v>
      </c>
      <c r="C69" s="10" t="s">
        <v>38</v>
      </c>
      <c r="D69" s="12">
        <v>683849.45</v>
      </c>
      <c r="E69" s="10" t="s">
        <v>39</v>
      </c>
      <c r="F69" s="12">
        <v>713331.89999999991</v>
      </c>
      <c r="G69" s="12">
        <v>5000000</v>
      </c>
      <c r="H69" s="12">
        <v>29482.45</v>
      </c>
      <c r="I69" s="10" t="s">
        <v>40</v>
      </c>
      <c r="J69" s="10" t="s">
        <v>35</v>
      </c>
      <c r="K69" s="10" t="s">
        <v>59</v>
      </c>
      <c r="L69" s="13">
        <v>111206</v>
      </c>
      <c r="M69" s="10">
        <v>4</v>
      </c>
      <c r="N69" s="14">
        <v>1.0506</v>
      </c>
      <c r="O69" s="12">
        <v>749426.49413999985</v>
      </c>
      <c r="P69" s="12">
        <v>719944.0441399999</v>
      </c>
      <c r="Q69" s="12">
        <v>719944.0441399999</v>
      </c>
      <c r="R69" s="15">
        <v>1</v>
      </c>
      <c r="S69" s="15">
        <v>2022</v>
      </c>
    </row>
    <row r="70" spans="1:19" x14ac:dyDescent="0.2">
      <c r="A70" s="4" t="s">
        <v>124</v>
      </c>
      <c r="B70" s="5">
        <v>44369</v>
      </c>
      <c r="C70" s="4" t="s">
        <v>28</v>
      </c>
      <c r="D70" s="6">
        <v>573839.54</v>
      </c>
      <c r="E70" s="4" t="s">
        <v>23</v>
      </c>
      <c r="F70" s="6">
        <v>601678.92000000004</v>
      </c>
      <c r="G70" s="6">
        <v>5000000</v>
      </c>
      <c r="H70" s="6">
        <v>27839.38</v>
      </c>
      <c r="I70" s="4" t="s">
        <v>29</v>
      </c>
      <c r="J70" s="4" t="s">
        <v>50</v>
      </c>
      <c r="K70" s="4" t="s">
        <v>67</v>
      </c>
      <c r="L70" s="7">
        <v>70911</v>
      </c>
      <c r="M70" s="4">
        <v>5</v>
      </c>
      <c r="N70" s="8">
        <v>1.071612</v>
      </c>
      <c r="O70" s="6">
        <v>644766.35081904009</v>
      </c>
      <c r="P70" s="6">
        <v>616926.97081904009</v>
      </c>
      <c r="Q70" s="6">
        <v>616926.97081904009</v>
      </c>
      <c r="R70" s="9">
        <v>1</v>
      </c>
      <c r="S70" s="9">
        <v>2021</v>
      </c>
    </row>
    <row r="71" spans="1:19" x14ac:dyDescent="0.2">
      <c r="A71" s="10" t="s">
        <v>125</v>
      </c>
      <c r="B71" s="11">
        <v>43857</v>
      </c>
      <c r="C71" s="10" t="s">
        <v>44</v>
      </c>
      <c r="D71" s="12">
        <v>572839.44999999995</v>
      </c>
      <c r="E71" s="10" t="s">
        <v>23</v>
      </c>
      <c r="F71" s="12">
        <v>605786.89999999991</v>
      </c>
      <c r="G71" s="12">
        <v>5000000</v>
      </c>
      <c r="H71" s="12">
        <v>32947.449999999997</v>
      </c>
      <c r="I71" s="10" t="s">
        <v>24</v>
      </c>
      <c r="J71" s="10" t="s">
        <v>41</v>
      </c>
      <c r="K71" s="10" t="s">
        <v>61</v>
      </c>
      <c r="L71" s="13">
        <v>7206</v>
      </c>
      <c r="M71" s="10">
        <v>3</v>
      </c>
      <c r="N71" s="14">
        <v>1.1037603600000001</v>
      </c>
      <c r="O71" s="12">
        <v>668643.56682728394</v>
      </c>
      <c r="P71" s="12">
        <v>635696.11682728399</v>
      </c>
      <c r="Q71" s="12">
        <v>635696.11682728399</v>
      </c>
      <c r="R71" s="15">
        <v>1</v>
      </c>
      <c r="S71" s="15">
        <v>2020</v>
      </c>
    </row>
    <row r="72" spans="1:19" x14ac:dyDescent="0.2">
      <c r="A72" s="4" t="s">
        <v>126</v>
      </c>
      <c r="B72" s="5">
        <v>43593</v>
      </c>
      <c r="C72" s="4" t="s">
        <v>44</v>
      </c>
      <c r="D72" s="6">
        <v>472839.38</v>
      </c>
      <c r="E72" s="4" t="s">
        <v>39</v>
      </c>
      <c r="F72" s="6">
        <v>502313.22</v>
      </c>
      <c r="G72" s="6">
        <v>2000000</v>
      </c>
      <c r="H72" s="6">
        <v>29473.84</v>
      </c>
      <c r="I72" s="4" t="s">
        <v>29</v>
      </c>
      <c r="J72" s="4" t="s">
        <v>35</v>
      </c>
      <c r="K72" s="4" t="s">
        <v>77</v>
      </c>
      <c r="L72" s="7">
        <v>52570</v>
      </c>
      <c r="M72" s="4">
        <v>4</v>
      </c>
      <c r="N72" s="8">
        <v>1.1479107743999999</v>
      </c>
      <c r="O72" s="6">
        <v>576610.75736155757</v>
      </c>
      <c r="P72" s="6">
        <v>547136.9173615576</v>
      </c>
      <c r="Q72" s="6">
        <v>547136.9173615576</v>
      </c>
      <c r="R72" s="9">
        <v>1</v>
      </c>
      <c r="S72" s="9">
        <v>2019</v>
      </c>
    </row>
    <row r="73" spans="1:19" x14ac:dyDescent="0.2">
      <c r="A73" s="10" t="s">
        <v>127</v>
      </c>
      <c r="B73" s="11">
        <v>45035</v>
      </c>
      <c r="C73" s="10" t="s">
        <v>22</v>
      </c>
      <c r="D73" s="12">
        <v>573849.48</v>
      </c>
      <c r="E73" s="10" t="s">
        <v>23</v>
      </c>
      <c r="F73" s="12">
        <v>606697.05999999994</v>
      </c>
      <c r="G73" s="12">
        <v>5000000</v>
      </c>
      <c r="H73" s="12">
        <v>32847.58</v>
      </c>
      <c r="I73" s="10" t="s">
        <v>29</v>
      </c>
      <c r="J73" s="10" t="s">
        <v>50</v>
      </c>
      <c r="K73" s="10" t="s">
        <v>59</v>
      </c>
      <c r="L73" s="13">
        <v>91202</v>
      </c>
      <c r="M73" s="10">
        <v>3</v>
      </c>
      <c r="N73" s="14">
        <v>1.03</v>
      </c>
      <c r="O73" s="12">
        <v>624897.97179999994</v>
      </c>
      <c r="P73" s="12">
        <v>592050.39179999998</v>
      </c>
      <c r="Q73" s="12">
        <v>592050.39179999998</v>
      </c>
      <c r="R73" s="15">
        <v>1</v>
      </c>
      <c r="S73" s="15">
        <v>2023</v>
      </c>
    </row>
    <row r="74" spans="1:19" x14ac:dyDescent="0.2">
      <c r="A74" s="4" t="s">
        <v>128</v>
      </c>
      <c r="B74" s="5">
        <v>44481</v>
      </c>
      <c r="C74" s="4" t="s">
        <v>33</v>
      </c>
      <c r="D74" s="6">
        <v>683849.75</v>
      </c>
      <c r="E74" s="4" t="s">
        <v>23</v>
      </c>
      <c r="F74" s="6">
        <v>721798.13</v>
      </c>
      <c r="G74" s="6">
        <v>5000000</v>
      </c>
      <c r="H74" s="6">
        <v>37948.379999999997</v>
      </c>
      <c r="I74" s="4" t="s">
        <v>34</v>
      </c>
      <c r="J74" s="4" t="s">
        <v>41</v>
      </c>
      <c r="K74" s="4" t="s">
        <v>65</v>
      </c>
      <c r="L74" s="7">
        <v>26329</v>
      </c>
      <c r="M74" s="4">
        <v>5</v>
      </c>
      <c r="N74" s="8">
        <v>1.071612</v>
      </c>
      <c r="O74" s="6">
        <v>773487.53768556006</v>
      </c>
      <c r="P74" s="6">
        <v>735539.15768556006</v>
      </c>
      <c r="Q74" s="6">
        <v>735539.15768556006</v>
      </c>
      <c r="R74" s="9">
        <v>1</v>
      </c>
      <c r="S74" s="9">
        <v>2021</v>
      </c>
    </row>
    <row r="75" spans="1:19" x14ac:dyDescent="0.2">
      <c r="A75" s="10" t="s">
        <v>129</v>
      </c>
      <c r="B75" s="11">
        <v>44648</v>
      </c>
      <c r="C75" s="10" t="s">
        <v>38</v>
      </c>
      <c r="D75" s="12">
        <v>739849.45</v>
      </c>
      <c r="E75" s="10" t="s">
        <v>39</v>
      </c>
      <c r="F75" s="12">
        <v>778796.89999999991</v>
      </c>
      <c r="G75" s="12">
        <v>5000000</v>
      </c>
      <c r="H75" s="12">
        <v>38947.449999999997</v>
      </c>
      <c r="I75" s="10" t="s">
        <v>40</v>
      </c>
      <c r="J75" s="10" t="s">
        <v>25</v>
      </c>
      <c r="K75" s="10" t="s">
        <v>53</v>
      </c>
      <c r="L75" s="13">
        <v>119255</v>
      </c>
      <c r="M75" s="10">
        <v>3</v>
      </c>
      <c r="N75" s="14">
        <v>1.0506</v>
      </c>
      <c r="O75" s="12">
        <v>818204.02313999983</v>
      </c>
      <c r="P75" s="12">
        <v>779256.57313999988</v>
      </c>
      <c r="Q75" s="12">
        <v>779256.57313999988</v>
      </c>
      <c r="R75" s="15">
        <v>1</v>
      </c>
      <c r="S75" s="15">
        <v>2022</v>
      </c>
    </row>
    <row r="76" spans="1:19" x14ac:dyDescent="0.2">
      <c r="A76" s="4" t="s">
        <v>130</v>
      </c>
      <c r="B76" s="5">
        <v>44047</v>
      </c>
      <c r="C76" s="4" t="s">
        <v>28</v>
      </c>
      <c r="D76" s="6">
        <v>573839.54</v>
      </c>
      <c r="E76" s="4" t="s">
        <v>23</v>
      </c>
      <c r="F76" s="6">
        <v>601678.92000000004</v>
      </c>
      <c r="G76" s="6">
        <v>5000000</v>
      </c>
      <c r="H76" s="6">
        <v>27839.38</v>
      </c>
      <c r="I76" s="4" t="s">
        <v>29</v>
      </c>
      <c r="J76" s="4" t="s">
        <v>30</v>
      </c>
      <c r="K76" s="4" t="s">
        <v>88</v>
      </c>
      <c r="L76" s="7">
        <v>70662</v>
      </c>
      <c r="M76" s="4">
        <v>6</v>
      </c>
      <c r="N76" s="8">
        <v>1.1037603600000001</v>
      </c>
      <c r="O76" s="6">
        <v>664109.34134361136</v>
      </c>
      <c r="P76" s="6">
        <v>636269.96134361136</v>
      </c>
      <c r="Q76" s="6">
        <v>636269.96134361136</v>
      </c>
      <c r="R76" s="9">
        <v>1</v>
      </c>
      <c r="S76" s="9">
        <v>2020</v>
      </c>
    </row>
    <row r="77" spans="1:19" x14ac:dyDescent="0.2">
      <c r="A77" s="10" t="s">
        <v>131</v>
      </c>
      <c r="B77" s="11">
        <v>43268</v>
      </c>
      <c r="C77" s="10" t="s">
        <v>44</v>
      </c>
      <c r="D77" s="12">
        <v>572839.44999999995</v>
      </c>
      <c r="E77" s="10" t="s">
        <v>23</v>
      </c>
      <c r="F77" s="12">
        <v>605786.89999999991</v>
      </c>
      <c r="G77" s="12">
        <v>5000000</v>
      </c>
      <c r="H77" s="12">
        <v>32947.449999999997</v>
      </c>
      <c r="I77" s="10" t="s">
        <v>24</v>
      </c>
      <c r="J77" s="10" t="s">
        <v>50</v>
      </c>
      <c r="K77" s="10" t="s">
        <v>26</v>
      </c>
      <c r="L77" s="13">
        <v>11748</v>
      </c>
      <c r="M77" s="10">
        <v>3</v>
      </c>
      <c r="N77" s="14">
        <v>1.2053063131199999</v>
      </c>
      <c r="O77" s="12">
        <v>730158.77497539402</v>
      </c>
      <c r="P77" s="12">
        <v>697211.32497539406</v>
      </c>
      <c r="Q77" s="12">
        <v>697211.32497539406</v>
      </c>
      <c r="R77" s="15">
        <v>1</v>
      </c>
      <c r="S77" s="15">
        <v>2018</v>
      </c>
    </row>
    <row r="78" spans="1:19" x14ac:dyDescent="0.2">
      <c r="A78" s="4" t="s">
        <v>132</v>
      </c>
      <c r="B78" s="5">
        <v>45068</v>
      </c>
      <c r="C78" s="4" t="s">
        <v>22</v>
      </c>
      <c r="D78" s="6">
        <v>793849.23</v>
      </c>
      <c r="E78" s="4" t="s">
        <v>39</v>
      </c>
      <c r="F78" s="6">
        <v>823331.71</v>
      </c>
      <c r="G78" s="6">
        <v>5000000</v>
      </c>
      <c r="H78" s="6">
        <v>29482.48</v>
      </c>
      <c r="I78" s="4" t="s">
        <v>29</v>
      </c>
      <c r="J78" s="4" t="s">
        <v>41</v>
      </c>
      <c r="K78" s="4" t="s">
        <v>46</v>
      </c>
      <c r="L78" s="7">
        <v>29819</v>
      </c>
      <c r="M78" s="4">
        <v>4</v>
      </c>
      <c r="N78" s="8">
        <v>1.03</v>
      </c>
      <c r="O78" s="6">
        <v>848031.66130000004</v>
      </c>
      <c r="P78" s="6">
        <v>818549.18130000005</v>
      </c>
      <c r="Q78" s="6">
        <v>818549.18130000005</v>
      </c>
      <c r="R78" s="9">
        <v>1</v>
      </c>
      <c r="S78" s="9">
        <v>2023</v>
      </c>
    </row>
    <row r="79" spans="1:19" x14ac:dyDescent="0.2">
      <c r="A79" s="10" t="s">
        <v>133</v>
      </c>
      <c r="B79" s="11">
        <v>44383</v>
      </c>
      <c r="C79" s="10" t="s">
        <v>33</v>
      </c>
      <c r="D79" s="12">
        <v>573849.48</v>
      </c>
      <c r="E79" s="10" t="s">
        <v>23</v>
      </c>
      <c r="F79" s="12">
        <v>606697.05999999994</v>
      </c>
      <c r="G79" s="12">
        <v>5000000</v>
      </c>
      <c r="H79" s="12">
        <v>32847.58</v>
      </c>
      <c r="I79" s="10" t="s">
        <v>34</v>
      </c>
      <c r="J79" s="10" t="s">
        <v>25</v>
      </c>
      <c r="K79" s="10" t="s">
        <v>67</v>
      </c>
      <c r="L79" s="13">
        <v>24294</v>
      </c>
      <c r="M79" s="10">
        <v>3</v>
      </c>
      <c r="N79" s="14">
        <v>1.071612</v>
      </c>
      <c r="O79" s="12">
        <v>650143.84986071999</v>
      </c>
      <c r="P79" s="12">
        <v>617296.26986072003</v>
      </c>
      <c r="Q79" s="12">
        <v>617296.26986072003</v>
      </c>
      <c r="R79" s="15">
        <v>1</v>
      </c>
      <c r="S79" s="15">
        <v>2021</v>
      </c>
    </row>
    <row r="80" spans="1:19" x14ac:dyDescent="0.2">
      <c r="A80" s="4" t="s">
        <v>134</v>
      </c>
      <c r="B80" s="5">
        <v>43879</v>
      </c>
      <c r="C80" s="4" t="s">
        <v>38</v>
      </c>
      <c r="D80" s="6">
        <v>572839.44999999995</v>
      </c>
      <c r="E80" s="4" t="s">
        <v>23</v>
      </c>
      <c r="F80" s="6">
        <v>605786.89999999991</v>
      </c>
      <c r="G80" s="6">
        <v>5000000</v>
      </c>
      <c r="H80" s="6">
        <v>32947.449999999997</v>
      </c>
      <c r="I80" s="4" t="s">
        <v>40</v>
      </c>
      <c r="J80" s="4" t="s">
        <v>35</v>
      </c>
      <c r="K80" s="4" t="s">
        <v>55</v>
      </c>
      <c r="L80" s="7">
        <v>109229</v>
      </c>
      <c r="M80" s="4">
        <v>6</v>
      </c>
      <c r="N80" s="8">
        <v>1.1037603600000001</v>
      </c>
      <c r="O80" s="6">
        <v>668643.56682728394</v>
      </c>
      <c r="P80" s="6">
        <v>635696.11682728399</v>
      </c>
      <c r="Q80" s="6">
        <v>635696.11682728399</v>
      </c>
      <c r="R80" s="9">
        <v>1</v>
      </c>
      <c r="S80" s="9">
        <v>2020</v>
      </c>
    </row>
    <row r="81" spans="1:19" x14ac:dyDescent="0.2">
      <c r="A81" s="10" t="s">
        <v>135</v>
      </c>
      <c r="B81" s="11">
        <v>44818</v>
      </c>
      <c r="C81" s="10" t="s">
        <v>28</v>
      </c>
      <c r="D81" s="12">
        <v>573839.54</v>
      </c>
      <c r="E81" s="10" t="s">
        <v>39</v>
      </c>
      <c r="F81" s="12">
        <v>601678.92000000004</v>
      </c>
      <c r="G81" s="12">
        <v>5000000</v>
      </c>
      <c r="H81" s="12">
        <v>27839.38</v>
      </c>
      <c r="I81" s="10" t="s">
        <v>29</v>
      </c>
      <c r="J81" s="10" t="s">
        <v>30</v>
      </c>
      <c r="K81" s="10" t="s">
        <v>51</v>
      </c>
      <c r="L81" s="13">
        <v>73448</v>
      </c>
      <c r="M81" s="10">
        <v>3</v>
      </c>
      <c r="N81" s="14">
        <v>1.0506</v>
      </c>
      <c r="O81" s="12">
        <v>632123.87335200002</v>
      </c>
      <c r="P81" s="12">
        <v>604284.49335200002</v>
      </c>
      <c r="Q81" s="12">
        <v>604284.49335200002</v>
      </c>
      <c r="R81" s="15">
        <v>1</v>
      </c>
      <c r="S81" s="15">
        <v>2022</v>
      </c>
    </row>
    <row r="82" spans="1:19" x14ac:dyDescent="0.2">
      <c r="A82" s="4" t="s">
        <v>136</v>
      </c>
      <c r="B82" s="5">
        <v>44992</v>
      </c>
      <c r="C82" s="4" t="s">
        <v>44</v>
      </c>
      <c r="D82" s="6">
        <v>473839.25</v>
      </c>
      <c r="E82" s="4" t="s">
        <v>23</v>
      </c>
      <c r="F82" s="6">
        <v>501321.63</v>
      </c>
      <c r="G82" s="6">
        <v>2000000</v>
      </c>
      <c r="H82" s="6">
        <v>27482.38</v>
      </c>
      <c r="I82" s="4" t="s">
        <v>24</v>
      </c>
      <c r="J82" s="4" t="s">
        <v>50</v>
      </c>
      <c r="K82" s="4" t="s">
        <v>36</v>
      </c>
      <c r="L82" s="7">
        <v>13065</v>
      </c>
      <c r="M82" s="4">
        <v>5</v>
      </c>
      <c r="N82" s="8">
        <v>1.03</v>
      </c>
      <c r="O82" s="6">
        <v>516361.27889999998</v>
      </c>
      <c r="P82" s="6">
        <v>488878.89889999997</v>
      </c>
      <c r="Q82" s="6">
        <v>488878.89889999997</v>
      </c>
      <c r="R82" s="9">
        <v>1</v>
      </c>
      <c r="S82" s="9">
        <v>2023</v>
      </c>
    </row>
    <row r="83" spans="1:19" x14ac:dyDescent="0.2">
      <c r="A83" s="10" t="s">
        <v>137</v>
      </c>
      <c r="B83" s="11">
        <v>44531</v>
      </c>
      <c r="C83" s="10" t="s">
        <v>22</v>
      </c>
      <c r="D83" s="12">
        <v>573849.48</v>
      </c>
      <c r="E83" s="10" t="s">
        <v>23</v>
      </c>
      <c r="F83" s="12">
        <v>606697.05999999994</v>
      </c>
      <c r="G83" s="12">
        <v>5000000</v>
      </c>
      <c r="H83" s="12">
        <v>32847.58</v>
      </c>
      <c r="I83" s="10" t="s">
        <v>29</v>
      </c>
      <c r="J83" s="10" t="s">
        <v>41</v>
      </c>
      <c r="K83" s="10" t="s">
        <v>42</v>
      </c>
      <c r="L83" s="13">
        <v>73272</v>
      </c>
      <c r="M83" s="10">
        <v>7</v>
      </c>
      <c r="N83" s="14">
        <v>1.071612</v>
      </c>
      <c r="O83" s="12">
        <v>650143.84986071999</v>
      </c>
      <c r="P83" s="12">
        <v>617296.26986072003</v>
      </c>
      <c r="Q83" s="12">
        <v>617296.26986072003</v>
      </c>
      <c r="R83" s="15">
        <v>1</v>
      </c>
      <c r="S83" s="15">
        <v>2021</v>
      </c>
    </row>
    <row r="84" spans="1:19" x14ac:dyDescent="0.2">
      <c r="A84" s="4" t="s">
        <v>138</v>
      </c>
      <c r="B84" s="5">
        <v>43987</v>
      </c>
      <c r="C84" s="4" t="s">
        <v>33</v>
      </c>
      <c r="D84" s="6">
        <v>683849.75</v>
      </c>
      <c r="E84" s="4" t="s">
        <v>23</v>
      </c>
      <c r="F84" s="6">
        <v>721798.13</v>
      </c>
      <c r="G84" s="6">
        <v>5000000</v>
      </c>
      <c r="H84" s="6">
        <v>37948.379999999997</v>
      </c>
      <c r="I84" s="4" t="s">
        <v>34</v>
      </c>
      <c r="J84" s="4" t="s">
        <v>25</v>
      </c>
      <c r="K84" s="4" t="s">
        <v>69</v>
      </c>
      <c r="L84" s="7">
        <v>59061</v>
      </c>
      <c r="M84" s="4">
        <v>3</v>
      </c>
      <c r="N84" s="8">
        <v>1.1037603600000001</v>
      </c>
      <c r="O84" s="6">
        <v>796692.16381612688</v>
      </c>
      <c r="P84" s="6">
        <v>758743.78381612687</v>
      </c>
      <c r="Q84" s="6">
        <v>758743.78381612687</v>
      </c>
      <c r="R84" s="9">
        <v>1</v>
      </c>
      <c r="S84" s="9">
        <v>2020</v>
      </c>
    </row>
    <row r="85" spans="1:19" x14ac:dyDescent="0.2">
      <c r="A85" s="10" t="s">
        <v>139</v>
      </c>
      <c r="B85" s="11">
        <v>43707</v>
      </c>
      <c r="C85" s="10" t="s">
        <v>38</v>
      </c>
      <c r="D85" s="12">
        <v>739849.45</v>
      </c>
      <c r="E85" s="10" t="s">
        <v>39</v>
      </c>
      <c r="F85" s="12">
        <v>778796.89999999991</v>
      </c>
      <c r="G85" s="12">
        <v>5000000</v>
      </c>
      <c r="H85" s="12">
        <v>38947.449999999997</v>
      </c>
      <c r="I85" s="10" t="s">
        <v>40</v>
      </c>
      <c r="J85" s="10" t="s">
        <v>35</v>
      </c>
      <c r="K85" s="10" t="s">
        <v>63</v>
      </c>
      <c r="L85" s="13">
        <v>56103</v>
      </c>
      <c r="M85" s="10">
        <v>4</v>
      </c>
      <c r="N85" s="14">
        <v>1.1479107743999999</v>
      </c>
      <c r="O85" s="12">
        <v>893989.35257931915</v>
      </c>
      <c r="P85" s="12">
        <v>855041.9025793192</v>
      </c>
      <c r="Q85" s="12">
        <v>855041.9025793192</v>
      </c>
      <c r="R85" s="15">
        <v>1</v>
      </c>
      <c r="S85" s="15">
        <v>2019</v>
      </c>
    </row>
    <row r="86" spans="1:19" x14ac:dyDescent="0.2">
      <c r="A86" s="4" t="s">
        <v>140</v>
      </c>
      <c r="B86" s="5">
        <v>43426</v>
      </c>
      <c r="C86" s="4" t="s">
        <v>28</v>
      </c>
      <c r="D86" s="6">
        <v>573839.54</v>
      </c>
      <c r="E86" s="4" t="s">
        <v>23</v>
      </c>
      <c r="F86" s="6">
        <v>601678.92000000004</v>
      </c>
      <c r="G86" s="6">
        <v>5000000</v>
      </c>
      <c r="H86" s="6">
        <v>27839.38</v>
      </c>
      <c r="I86" s="4" t="s">
        <v>29</v>
      </c>
      <c r="J86" s="4" t="s">
        <v>30</v>
      </c>
      <c r="K86" s="4" t="s">
        <v>84</v>
      </c>
      <c r="L86" s="7">
        <v>72365</v>
      </c>
      <c r="M86" s="4">
        <v>5</v>
      </c>
      <c r="N86" s="8">
        <v>1.2053063131199999</v>
      </c>
      <c r="O86" s="6">
        <v>725207.40074722341</v>
      </c>
      <c r="P86" s="6">
        <v>697368.0207472234</v>
      </c>
      <c r="Q86" s="6">
        <v>697368.0207472234</v>
      </c>
      <c r="R86" s="9">
        <v>1</v>
      </c>
      <c r="S86" s="9">
        <v>2018</v>
      </c>
    </row>
    <row r="87" spans="1:19" x14ac:dyDescent="0.2">
      <c r="A87" s="10" t="s">
        <v>141</v>
      </c>
      <c r="B87" s="11">
        <v>44955</v>
      </c>
      <c r="C87" s="10" t="s">
        <v>44</v>
      </c>
      <c r="D87" s="12">
        <v>572839.44999999995</v>
      </c>
      <c r="E87" s="10" t="s">
        <v>23</v>
      </c>
      <c r="F87" s="12">
        <v>605786.89999999991</v>
      </c>
      <c r="G87" s="12">
        <v>5000000</v>
      </c>
      <c r="H87" s="12">
        <v>32947.449999999997</v>
      </c>
      <c r="I87" s="10" t="s">
        <v>24</v>
      </c>
      <c r="J87" s="10" t="s">
        <v>50</v>
      </c>
      <c r="K87" s="10" t="s">
        <v>77</v>
      </c>
      <c r="L87" s="13">
        <v>38874</v>
      </c>
      <c r="M87" s="10">
        <v>6</v>
      </c>
      <c r="N87" s="14">
        <v>1.03</v>
      </c>
      <c r="O87" s="12">
        <v>623960.50699999987</v>
      </c>
      <c r="P87" s="12">
        <v>591013.05699999991</v>
      </c>
      <c r="Q87" s="12">
        <v>591013.05699999991</v>
      </c>
      <c r="R87" s="15">
        <v>1</v>
      </c>
      <c r="S87" s="15">
        <v>2023</v>
      </c>
    </row>
    <row r="88" spans="1:19" x14ac:dyDescent="0.2">
      <c r="A88" s="4" t="s">
        <v>142</v>
      </c>
      <c r="B88" s="5">
        <v>44296</v>
      </c>
      <c r="C88" s="4" t="s">
        <v>22</v>
      </c>
      <c r="D88" s="6">
        <v>793849.23</v>
      </c>
      <c r="E88" s="4" t="s">
        <v>39</v>
      </c>
      <c r="F88" s="6">
        <v>823331.71</v>
      </c>
      <c r="G88" s="6">
        <v>5000000</v>
      </c>
      <c r="H88" s="6">
        <v>29482.48</v>
      </c>
      <c r="I88" s="4" t="s">
        <v>29</v>
      </c>
      <c r="J88" s="4" t="s">
        <v>41</v>
      </c>
      <c r="K88" s="4" t="s">
        <v>59</v>
      </c>
      <c r="L88" s="7">
        <v>95257</v>
      </c>
      <c r="M88" s="4">
        <v>4</v>
      </c>
      <c r="N88" s="8">
        <v>1.071612</v>
      </c>
      <c r="O88" s="6">
        <v>882292.14041651995</v>
      </c>
      <c r="P88" s="6">
        <v>852809.66041651997</v>
      </c>
      <c r="Q88" s="6">
        <v>852809.66041651997</v>
      </c>
      <c r="R88" s="9">
        <v>1</v>
      </c>
      <c r="S88" s="9">
        <v>2021</v>
      </c>
    </row>
    <row r="89" spans="1:19" x14ac:dyDescent="0.2">
      <c r="A89" s="10" t="s">
        <v>143</v>
      </c>
      <c r="B89" s="11">
        <v>44032</v>
      </c>
      <c r="C89" s="10" t="s">
        <v>33</v>
      </c>
      <c r="D89" s="12">
        <v>573849.48</v>
      </c>
      <c r="E89" s="10" t="s">
        <v>23</v>
      </c>
      <c r="F89" s="12">
        <v>606697.05999999994</v>
      </c>
      <c r="G89" s="12">
        <v>5000000</v>
      </c>
      <c r="H89" s="12">
        <v>32847.58</v>
      </c>
      <c r="I89" s="10" t="s">
        <v>34</v>
      </c>
      <c r="J89" s="10" t="s">
        <v>25</v>
      </c>
      <c r="K89" s="10" t="s">
        <v>31</v>
      </c>
      <c r="L89" s="13">
        <v>48097</v>
      </c>
      <c r="M89" s="10">
        <v>3</v>
      </c>
      <c r="N89" s="14">
        <v>1.1037603600000001</v>
      </c>
      <c r="O89" s="12">
        <v>669648.16535654163</v>
      </c>
      <c r="P89" s="12">
        <v>636800.58535654168</v>
      </c>
      <c r="Q89" s="12">
        <v>636800.58535654168</v>
      </c>
      <c r="R89" s="15">
        <v>1</v>
      </c>
      <c r="S89" s="15">
        <v>2020</v>
      </c>
    </row>
    <row r="90" spans="1:19" x14ac:dyDescent="0.2">
      <c r="A90" s="4" t="s">
        <v>144</v>
      </c>
      <c r="B90" s="5">
        <v>43520</v>
      </c>
      <c r="C90" s="4" t="s">
        <v>38</v>
      </c>
      <c r="D90" s="6">
        <v>572839.44999999995</v>
      </c>
      <c r="E90" s="4" t="s">
        <v>23</v>
      </c>
      <c r="F90" s="6">
        <v>605786.89999999991</v>
      </c>
      <c r="G90" s="6">
        <v>5000000</v>
      </c>
      <c r="H90" s="6">
        <v>32947.449999999997</v>
      </c>
      <c r="I90" s="4" t="s">
        <v>40</v>
      </c>
      <c r="J90" s="4" t="s">
        <v>30</v>
      </c>
      <c r="K90" s="4" t="s">
        <v>61</v>
      </c>
      <c r="L90" s="7">
        <v>101373</v>
      </c>
      <c r="M90" s="4">
        <v>5</v>
      </c>
      <c r="N90" s="8">
        <v>1.1479107743999999</v>
      </c>
      <c r="O90" s="6">
        <v>695389.30950037518</v>
      </c>
      <c r="P90" s="6">
        <v>662441.85950037523</v>
      </c>
      <c r="Q90" s="6">
        <v>662441.85950037523</v>
      </c>
      <c r="R90" s="9">
        <v>1</v>
      </c>
      <c r="S90" s="9">
        <v>2019</v>
      </c>
    </row>
    <row r="91" spans="1:19" x14ac:dyDescent="0.2">
      <c r="A91" s="10" t="s">
        <v>145</v>
      </c>
      <c r="B91" s="11">
        <v>44884</v>
      </c>
      <c r="C91" s="10" t="s">
        <v>28</v>
      </c>
      <c r="D91" s="12">
        <v>573839.54</v>
      </c>
      <c r="E91" s="10" t="s">
        <v>39</v>
      </c>
      <c r="F91" s="12">
        <v>601678.92000000004</v>
      </c>
      <c r="G91" s="12">
        <v>5000000</v>
      </c>
      <c r="H91" s="12">
        <v>27839.38</v>
      </c>
      <c r="I91" s="10" t="s">
        <v>29</v>
      </c>
      <c r="J91" s="10" t="s">
        <v>35</v>
      </c>
      <c r="K91" s="10" t="s">
        <v>53</v>
      </c>
      <c r="L91" s="13">
        <v>50976</v>
      </c>
      <c r="M91" s="10">
        <v>3</v>
      </c>
      <c r="N91" s="14">
        <v>1.0506</v>
      </c>
      <c r="O91" s="12">
        <v>632123.87335200002</v>
      </c>
      <c r="P91" s="12">
        <v>604284.49335200002</v>
      </c>
      <c r="Q91" s="12">
        <v>604284.49335200002</v>
      </c>
      <c r="R91" s="15">
        <v>1</v>
      </c>
      <c r="S91" s="15">
        <v>2022</v>
      </c>
    </row>
    <row r="92" spans="1:19" x14ac:dyDescent="0.2">
      <c r="A92" s="4" t="s">
        <v>146</v>
      </c>
      <c r="B92" s="5">
        <v>45091</v>
      </c>
      <c r="C92" s="4" t="s">
        <v>44</v>
      </c>
      <c r="D92" s="6">
        <v>473839.25</v>
      </c>
      <c r="E92" s="4" t="s">
        <v>23</v>
      </c>
      <c r="F92" s="6">
        <v>501321.63</v>
      </c>
      <c r="G92" s="6">
        <v>2000000</v>
      </c>
      <c r="H92" s="6">
        <v>27482.38</v>
      </c>
      <c r="I92" s="4" t="s">
        <v>24</v>
      </c>
      <c r="J92" s="4" t="s">
        <v>50</v>
      </c>
      <c r="K92" s="4" t="s">
        <v>26</v>
      </c>
      <c r="L92" s="7">
        <v>12054</v>
      </c>
      <c r="M92" s="4">
        <v>7</v>
      </c>
      <c r="N92" s="8">
        <v>1.03</v>
      </c>
      <c r="O92" s="6">
        <v>516361.27889999998</v>
      </c>
      <c r="P92" s="6">
        <v>488878.89889999997</v>
      </c>
      <c r="Q92" s="6">
        <v>488878.89889999997</v>
      </c>
      <c r="R92" s="9">
        <v>1</v>
      </c>
      <c r="S92" s="9">
        <v>2023</v>
      </c>
    </row>
    <row r="93" spans="1:19" x14ac:dyDescent="0.2">
      <c r="A93" s="10" t="s">
        <v>147</v>
      </c>
      <c r="B93" s="11">
        <v>44419</v>
      </c>
      <c r="C93" s="10" t="s">
        <v>22</v>
      </c>
      <c r="D93" s="12">
        <v>573849.48</v>
      </c>
      <c r="E93" s="10" t="s">
        <v>23</v>
      </c>
      <c r="F93" s="12">
        <v>606697.05999999994</v>
      </c>
      <c r="G93" s="12">
        <v>5000000</v>
      </c>
      <c r="H93" s="12">
        <v>32847.58</v>
      </c>
      <c r="I93" s="10" t="s">
        <v>29</v>
      </c>
      <c r="J93" s="10" t="s">
        <v>41</v>
      </c>
      <c r="K93" s="10" t="s">
        <v>51</v>
      </c>
      <c r="L93" s="13">
        <v>72596</v>
      </c>
      <c r="M93" s="10">
        <v>4</v>
      </c>
      <c r="N93" s="14">
        <v>1.071612</v>
      </c>
      <c r="O93" s="12">
        <v>650143.84986071999</v>
      </c>
      <c r="P93" s="12">
        <v>617296.26986072003</v>
      </c>
      <c r="Q93" s="12">
        <v>617296.26986072003</v>
      </c>
      <c r="R93" s="15">
        <v>1</v>
      </c>
      <c r="S93" s="15">
        <v>2021</v>
      </c>
    </row>
    <row r="94" spans="1:19" x14ac:dyDescent="0.2">
      <c r="A94" s="4" t="s">
        <v>148</v>
      </c>
      <c r="B94" s="5">
        <v>44186</v>
      </c>
      <c r="C94" s="4" t="s">
        <v>33</v>
      </c>
      <c r="D94" s="6">
        <v>683849.75</v>
      </c>
      <c r="E94" s="4" t="s">
        <v>23</v>
      </c>
      <c r="F94" s="6">
        <v>721798.13</v>
      </c>
      <c r="G94" s="6">
        <v>5000000</v>
      </c>
      <c r="H94" s="6">
        <v>37948.379999999997</v>
      </c>
      <c r="I94" s="4" t="s">
        <v>34</v>
      </c>
      <c r="J94" s="4" t="s">
        <v>25</v>
      </c>
      <c r="K94" s="4" t="s">
        <v>48</v>
      </c>
      <c r="L94" s="7">
        <v>36399</v>
      </c>
      <c r="M94" s="4">
        <v>5</v>
      </c>
      <c r="N94" s="8">
        <v>1.1037603600000001</v>
      </c>
      <c r="O94" s="6">
        <v>796692.16381612688</v>
      </c>
      <c r="P94" s="6">
        <v>758743.78381612687</v>
      </c>
      <c r="Q94" s="6">
        <v>758743.78381612687</v>
      </c>
      <c r="R94" s="9">
        <v>1</v>
      </c>
      <c r="S94" s="9">
        <v>2020</v>
      </c>
    </row>
    <row r="95" spans="1:19" x14ac:dyDescent="0.2">
      <c r="A95" s="10" t="s">
        <v>149</v>
      </c>
      <c r="B95" s="11">
        <v>44704</v>
      </c>
      <c r="C95" s="10" t="s">
        <v>38</v>
      </c>
      <c r="D95" s="12">
        <v>739849.45</v>
      </c>
      <c r="E95" s="10" t="s">
        <v>39</v>
      </c>
      <c r="F95" s="12">
        <v>778796.89999999991</v>
      </c>
      <c r="G95" s="12">
        <v>5000000</v>
      </c>
      <c r="H95" s="12">
        <v>38947.449999999997</v>
      </c>
      <c r="I95" s="10" t="s">
        <v>40</v>
      </c>
      <c r="J95" s="10" t="s">
        <v>35</v>
      </c>
      <c r="K95" s="10" t="s">
        <v>42</v>
      </c>
      <c r="L95" s="13">
        <v>63418</v>
      </c>
      <c r="M95" s="10">
        <v>6</v>
      </c>
      <c r="N95" s="14">
        <v>1.0506</v>
      </c>
      <c r="O95" s="12">
        <v>818204.02313999983</v>
      </c>
      <c r="P95" s="12">
        <v>779256.57313999988</v>
      </c>
      <c r="Q95" s="12">
        <v>779256.57313999988</v>
      </c>
      <c r="R95" s="15">
        <v>1</v>
      </c>
      <c r="S95" s="15">
        <v>2022</v>
      </c>
    </row>
    <row r="96" spans="1:19" x14ac:dyDescent="0.2">
      <c r="A96" s="4" t="s">
        <v>150</v>
      </c>
      <c r="B96" s="5">
        <v>43726</v>
      </c>
      <c r="C96" s="4" t="s">
        <v>28</v>
      </c>
      <c r="D96" s="6">
        <v>573839.54</v>
      </c>
      <c r="E96" s="4" t="s">
        <v>23</v>
      </c>
      <c r="F96" s="6">
        <v>601678.92000000004</v>
      </c>
      <c r="G96" s="6">
        <v>5000000</v>
      </c>
      <c r="H96" s="6">
        <v>27839.38</v>
      </c>
      <c r="I96" s="4" t="s">
        <v>29</v>
      </c>
      <c r="J96" s="4" t="s">
        <v>30</v>
      </c>
      <c r="K96" s="4" t="s">
        <v>67</v>
      </c>
      <c r="L96" s="7">
        <v>60771</v>
      </c>
      <c r="M96" s="4">
        <v>3</v>
      </c>
      <c r="N96" s="8">
        <v>1.1479107743999999</v>
      </c>
      <c r="O96" s="6">
        <v>690673.71499735559</v>
      </c>
      <c r="P96" s="6">
        <v>662834.33499735559</v>
      </c>
      <c r="Q96" s="6">
        <v>662834.33499735559</v>
      </c>
      <c r="R96" s="9">
        <v>1</v>
      </c>
      <c r="S96" s="9">
        <v>2019</v>
      </c>
    </row>
    <row r="97" spans="1:19" x14ac:dyDescent="0.2">
      <c r="A97" s="10" t="s">
        <v>151</v>
      </c>
      <c r="B97" s="11">
        <v>45109</v>
      </c>
      <c r="C97" s="10" t="s">
        <v>44</v>
      </c>
      <c r="D97" s="12">
        <v>572839.44999999995</v>
      </c>
      <c r="E97" s="10" t="s">
        <v>23</v>
      </c>
      <c r="F97" s="12">
        <v>605786.89999999991</v>
      </c>
      <c r="G97" s="12">
        <v>5000000</v>
      </c>
      <c r="H97" s="12">
        <v>32947.449999999997</v>
      </c>
      <c r="I97" s="10" t="s">
        <v>24</v>
      </c>
      <c r="J97" s="10" t="s">
        <v>50</v>
      </c>
      <c r="K97" s="10" t="s">
        <v>71</v>
      </c>
      <c r="L97" s="13">
        <v>43436</v>
      </c>
      <c r="M97" s="10">
        <v>4</v>
      </c>
      <c r="N97" s="14">
        <v>1.03</v>
      </c>
      <c r="O97" s="12">
        <v>623960.50699999987</v>
      </c>
      <c r="P97" s="12">
        <v>591013.05699999991</v>
      </c>
      <c r="Q97" s="12">
        <v>591013.05699999991</v>
      </c>
      <c r="R97" s="15">
        <v>1</v>
      </c>
      <c r="S97" s="15">
        <v>2023</v>
      </c>
    </row>
    <row r="98" spans="1:19" x14ac:dyDescent="0.2">
      <c r="A98" s="4" t="s">
        <v>152</v>
      </c>
      <c r="B98" s="5">
        <v>44281</v>
      </c>
      <c r="C98" s="4" t="s">
        <v>22</v>
      </c>
      <c r="D98" s="6">
        <v>793849.23</v>
      </c>
      <c r="E98" s="4" t="s">
        <v>39</v>
      </c>
      <c r="F98" s="6">
        <v>823331.71</v>
      </c>
      <c r="G98" s="6">
        <v>5000000</v>
      </c>
      <c r="H98" s="6">
        <v>29482.48</v>
      </c>
      <c r="I98" s="4" t="s">
        <v>29</v>
      </c>
      <c r="J98" s="4" t="s">
        <v>41</v>
      </c>
      <c r="K98" s="4" t="s">
        <v>77</v>
      </c>
      <c r="L98" s="7">
        <v>44137</v>
      </c>
      <c r="M98" s="4">
        <v>3</v>
      </c>
      <c r="N98" s="8">
        <v>1.071612</v>
      </c>
      <c r="O98" s="6">
        <v>882292.14041651995</v>
      </c>
      <c r="P98" s="6">
        <v>852809.66041651997</v>
      </c>
      <c r="Q98" s="6">
        <v>852809.66041651997</v>
      </c>
      <c r="R98" s="9">
        <v>1</v>
      </c>
      <c r="S98" s="9">
        <v>2021</v>
      </c>
    </row>
    <row r="99" spans="1:19" x14ac:dyDescent="0.2">
      <c r="A99" s="10" t="s">
        <v>153</v>
      </c>
      <c r="B99" s="11">
        <v>43890</v>
      </c>
      <c r="C99" s="10" t="s">
        <v>33</v>
      </c>
      <c r="D99" s="12">
        <v>573849.48</v>
      </c>
      <c r="E99" s="10" t="s">
        <v>23</v>
      </c>
      <c r="F99" s="12">
        <v>606697.05999999994</v>
      </c>
      <c r="G99" s="12">
        <v>5000000</v>
      </c>
      <c r="H99" s="12">
        <v>32847.58</v>
      </c>
      <c r="I99" s="10" t="s">
        <v>34</v>
      </c>
      <c r="J99" s="10" t="s">
        <v>25</v>
      </c>
      <c r="K99" s="10" t="s">
        <v>59</v>
      </c>
      <c r="L99" s="13">
        <v>67538</v>
      </c>
      <c r="M99" s="10">
        <v>6</v>
      </c>
      <c r="N99" s="14">
        <v>1.1037603600000001</v>
      </c>
      <c r="O99" s="12">
        <v>669648.16535654163</v>
      </c>
      <c r="P99" s="12">
        <v>636800.58535654168</v>
      </c>
      <c r="Q99" s="12">
        <v>636800.58535654168</v>
      </c>
      <c r="R99" s="15">
        <v>1</v>
      </c>
      <c r="S99" s="15">
        <v>2020</v>
      </c>
    </row>
    <row r="100" spans="1:19" x14ac:dyDescent="0.2">
      <c r="A100" s="4" t="s">
        <v>154</v>
      </c>
      <c r="B100" s="5">
        <v>43481</v>
      </c>
      <c r="C100" s="4" t="s">
        <v>38</v>
      </c>
      <c r="D100" s="6">
        <v>572839.44999999995</v>
      </c>
      <c r="E100" s="4" t="s">
        <v>23</v>
      </c>
      <c r="F100" s="6">
        <v>605786.89999999991</v>
      </c>
      <c r="G100" s="6">
        <v>5000000</v>
      </c>
      <c r="H100" s="6">
        <v>32947.449999999997</v>
      </c>
      <c r="I100" s="4" t="s">
        <v>40</v>
      </c>
      <c r="J100" s="4" t="s">
        <v>30</v>
      </c>
      <c r="K100" s="4" t="s">
        <v>46</v>
      </c>
      <c r="L100" s="7">
        <v>53332</v>
      </c>
      <c r="M100" s="4">
        <v>5</v>
      </c>
      <c r="N100" s="8">
        <v>1.1479107743999999</v>
      </c>
      <c r="O100" s="6">
        <v>695389.30950037518</v>
      </c>
      <c r="P100" s="6">
        <v>662441.85950037523</v>
      </c>
      <c r="Q100" s="6">
        <v>662441.85950037523</v>
      </c>
      <c r="R100" s="9">
        <v>1</v>
      </c>
      <c r="S100" s="9">
        <v>2019</v>
      </c>
    </row>
    <row r="101" spans="1:19" x14ac:dyDescent="0.2">
      <c r="A101" s="10" t="s">
        <v>155</v>
      </c>
      <c r="B101" s="11">
        <v>44665</v>
      </c>
      <c r="C101" s="10" t="s">
        <v>28</v>
      </c>
      <c r="D101" s="12">
        <v>573839.54</v>
      </c>
      <c r="E101" s="10" t="s">
        <v>39</v>
      </c>
      <c r="F101" s="12">
        <v>601678.92000000004</v>
      </c>
      <c r="G101" s="12">
        <v>5000000</v>
      </c>
      <c r="H101" s="12">
        <v>27839.38</v>
      </c>
      <c r="I101" s="10" t="s">
        <v>29</v>
      </c>
      <c r="J101" s="10" t="s">
        <v>35</v>
      </c>
      <c r="K101" s="10" t="s">
        <v>55</v>
      </c>
      <c r="L101" s="13">
        <v>47691</v>
      </c>
      <c r="M101" s="10">
        <v>3</v>
      </c>
      <c r="N101" s="14">
        <v>1.0506</v>
      </c>
      <c r="O101" s="12">
        <v>632123.87335200002</v>
      </c>
      <c r="P101" s="12">
        <v>604284.49335200002</v>
      </c>
      <c r="Q101" s="12">
        <v>604284.49335200002</v>
      </c>
      <c r="R101" s="15">
        <v>1</v>
      </c>
      <c r="S101" s="15">
        <v>2022</v>
      </c>
    </row>
    <row r="102" spans="1:19" x14ac:dyDescent="0.2">
      <c r="A102" s="4" t="s">
        <v>156</v>
      </c>
      <c r="B102" s="5">
        <v>45139</v>
      </c>
      <c r="C102" s="4" t="s">
        <v>44</v>
      </c>
      <c r="D102" s="6">
        <v>473839.25</v>
      </c>
      <c r="E102" s="4" t="s">
        <v>23</v>
      </c>
      <c r="F102" s="6">
        <v>501321.63</v>
      </c>
      <c r="G102" s="6">
        <v>2000000</v>
      </c>
      <c r="H102" s="6">
        <v>27482.38</v>
      </c>
      <c r="I102" s="4" t="s">
        <v>24</v>
      </c>
      <c r="J102" s="4" t="s">
        <v>41</v>
      </c>
      <c r="K102" s="4" t="s">
        <v>65</v>
      </c>
      <c r="L102" s="7">
        <v>59119</v>
      </c>
      <c r="M102" s="4">
        <v>4</v>
      </c>
      <c r="N102" s="8">
        <v>1.03</v>
      </c>
      <c r="O102" s="6">
        <v>516361.27889999998</v>
      </c>
      <c r="P102" s="6">
        <v>488878.89889999997</v>
      </c>
      <c r="Q102" s="6">
        <v>488878.89889999997</v>
      </c>
      <c r="R102" s="9">
        <v>1</v>
      </c>
      <c r="S102" s="9">
        <v>2023</v>
      </c>
    </row>
    <row r="103" spans="1:19" x14ac:dyDescent="0.2">
      <c r="A103" s="16" t="s">
        <v>157</v>
      </c>
      <c r="B103" s="17">
        <v>44922</v>
      </c>
      <c r="C103" s="16" t="s">
        <v>38</v>
      </c>
      <c r="D103" s="18">
        <v>5000000</v>
      </c>
      <c r="E103" s="16" t="s">
        <v>45</v>
      </c>
      <c r="F103" s="18">
        <v>5018723.79</v>
      </c>
      <c r="G103" s="18">
        <v>10000000</v>
      </c>
      <c r="H103" s="18">
        <v>18723.79</v>
      </c>
      <c r="I103" s="16" t="s">
        <v>40</v>
      </c>
      <c r="J103" s="16" t="s">
        <v>30</v>
      </c>
      <c r="K103" s="16" t="s">
        <v>71</v>
      </c>
      <c r="L103" s="19">
        <v>94500</v>
      </c>
      <c r="M103" s="16">
        <v>9</v>
      </c>
      <c r="N103" s="20">
        <v>1.0506</v>
      </c>
      <c r="O103" s="18">
        <v>5272671.2137740003</v>
      </c>
      <c r="P103" s="18">
        <v>5253947.4237740003</v>
      </c>
      <c r="Q103" s="18">
        <v>5253947.4237740003</v>
      </c>
      <c r="R103" s="21">
        <v>0</v>
      </c>
      <c r="S103" s="21">
        <v>2022</v>
      </c>
    </row>
    <row r="104" spans="1:19" ht="20" customHeight="1" x14ac:dyDescent="0.2">
      <c r="A104" s="55" t="s">
        <v>158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</row>
    <row r="105" spans="1:19" x14ac:dyDescent="0.2">
      <c r="A105" s="1" t="s">
        <v>159</v>
      </c>
    </row>
  </sheetData>
  <mergeCells count="3">
    <mergeCell ref="A104:S104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showGridLines="0" workbookViewId="0">
      <pane ySplit="2" topLeftCell="A3" activePane="bottomLeft" state="frozen"/>
      <selection pane="bottomLeft" activeCell="J12" sqref="J12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10" customWidth="1"/>
    <col min="4" max="4" width="16" customWidth="1"/>
    <col min="5" max="5" width="4" customWidth="1"/>
    <col min="6" max="6" width="22" customWidth="1"/>
    <col min="7" max="7" width="16" customWidth="1"/>
    <col min="8" max="8" width="10" customWidth="1"/>
    <col min="9" max="9" width="16" customWidth="1"/>
    <col min="10" max="10" width="4" customWidth="1"/>
    <col min="11" max="12" width="14" customWidth="1"/>
  </cols>
  <sheetData>
    <row r="1" spans="1:12" ht="30" customHeight="1" x14ac:dyDescent="0.2">
      <c r="A1" s="74" t="s">
        <v>160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</row>
    <row r="2" spans="1:12" x14ac:dyDescent="0.2">
      <c r="A2" s="70" t="s">
        <v>161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4" spans="1:12" x14ac:dyDescent="0.2">
      <c r="A4" s="73" t="s">
        <v>162</v>
      </c>
      <c r="B4" s="59"/>
      <c r="C4" s="60"/>
      <c r="E4" s="73" t="s">
        <v>163</v>
      </c>
      <c r="F4" s="59"/>
      <c r="G4" s="60"/>
    </row>
    <row r="5" spans="1:12" x14ac:dyDescent="0.2">
      <c r="A5" s="22" t="s">
        <v>164</v>
      </c>
      <c r="B5" s="66" t="s">
        <v>165</v>
      </c>
      <c r="C5" s="63"/>
      <c r="E5" s="22" t="s">
        <v>166</v>
      </c>
      <c r="F5" s="68">
        <v>100</v>
      </c>
      <c r="G5" s="63"/>
    </row>
    <row r="6" spans="1:12" x14ac:dyDescent="0.2">
      <c r="A6" s="22" t="s">
        <v>167</v>
      </c>
      <c r="B6" s="66" t="s">
        <v>168</v>
      </c>
      <c r="C6" s="63"/>
      <c r="E6" s="22" t="s">
        <v>169</v>
      </c>
      <c r="F6" s="68">
        <v>99</v>
      </c>
      <c r="G6" s="63"/>
    </row>
    <row r="7" spans="1:12" x14ac:dyDescent="0.2">
      <c r="A7" s="22" t="s">
        <v>170</v>
      </c>
      <c r="B7" s="66" t="s">
        <v>171</v>
      </c>
      <c r="C7" s="63"/>
      <c r="E7" s="22" t="s">
        <v>172</v>
      </c>
      <c r="F7" s="68">
        <v>1</v>
      </c>
      <c r="G7" s="63"/>
    </row>
    <row r="8" spans="1:12" x14ac:dyDescent="0.2">
      <c r="A8" s="22" t="s">
        <v>173</v>
      </c>
      <c r="B8" s="66" t="s">
        <v>174</v>
      </c>
      <c r="C8" s="63"/>
      <c r="E8" s="22" t="s">
        <v>175</v>
      </c>
      <c r="F8" s="67">
        <v>58030604.049999997</v>
      </c>
      <c r="G8" s="63"/>
    </row>
    <row r="9" spans="1:12" x14ac:dyDescent="0.2">
      <c r="A9" s="22" t="s">
        <v>176</v>
      </c>
      <c r="B9" s="66" t="s">
        <v>177</v>
      </c>
      <c r="C9" s="63"/>
      <c r="E9" s="22" t="s">
        <v>178</v>
      </c>
      <c r="F9" s="67">
        <v>606718.31000000006</v>
      </c>
      <c r="G9" s="63"/>
    </row>
    <row r="10" spans="1:12" x14ac:dyDescent="0.2">
      <c r="A10" s="22" t="s">
        <v>179</v>
      </c>
      <c r="B10" s="66" t="s">
        <v>180</v>
      </c>
      <c r="C10" s="63"/>
      <c r="E10" s="22" t="s">
        <v>181</v>
      </c>
      <c r="F10" s="67">
        <v>586167.72</v>
      </c>
      <c r="G10" s="63"/>
    </row>
    <row r="11" spans="1:12" x14ac:dyDescent="0.2">
      <c r="A11" s="22" t="s">
        <v>182</v>
      </c>
      <c r="B11" s="66" t="s">
        <v>183</v>
      </c>
      <c r="C11" s="63"/>
      <c r="E11" s="22" t="s">
        <v>184</v>
      </c>
      <c r="F11" s="65">
        <v>3.7580000000000002E-7</v>
      </c>
      <c r="G11" s="63"/>
    </row>
    <row r="12" spans="1:12" x14ac:dyDescent="0.2">
      <c r="E12" s="22" t="s">
        <v>185</v>
      </c>
      <c r="F12" s="67">
        <v>588228.25</v>
      </c>
      <c r="G12" s="63"/>
    </row>
    <row r="14" spans="1:12" x14ac:dyDescent="0.2">
      <c r="A14" s="64" t="s">
        <v>186</v>
      </c>
      <c r="B14" s="59"/>
      <c r="C14" s="59"/>
      <c r="D14" s="60"/>
      <c r="E14" s="64" t="s">
        <v>187</v>
      </c>
      <c r="F14" s="59"/>
      <c r="G14" s="59"/>
      <c r="H14" s="60"/>
    </row>
    <row r="15" spans="1:12" x14ac:dyDescent="0.2">
      <c r="A15" s="22" t="s">
        <v>188</v>
      </c>
      <c r="B15" s="22" t="s">
        <v>189</v>
      </c>
      <c r="C15" s="22" t="s">
        <v>190</v>
      </c>
      <c r="D15" s="22" t="s">
        <v>191</v>
      </c>
      <c r="E15" s="22" t="s">
        <v>11</v>
      </c>
      <c r="F15" s="22" t="s">
        <v>189</v>
      </c>
      <c r="G15" s="22" t="s">
        <v>190</v>
      </c>
      <c r="H15" s="22" t="s">
        <v>191</v>
      </c>
    </row>
    <row r="16" spans="1:12" x14ac:dyDescent="0.2">
      <c r="A16" s="23" t="s">
        <v>28</v>
      </c>
      <c r="B16" s="24">
        <v>11221086.460000001</v>
      </c>
      <c r="C16" s="25">
        <v>19</v>
      </c>
      <c r="D16" s="24">
        <v>590583.5</v>
      </c>
      <c r="E16" s="23" t="s">
        <v>30</v>
      </c>
      <c r="F16" s="24">
        <v>14258197.859999999</v>
      </c>
      <c r="G16" s="25">
        <v>22</v>
      </c>
      <c r="H16" s="24">
        <v>648099.9</v>
      </c>
    </row>
    <row r="17" spans="1:8" x14ac:dyDescent="0.2">
      <c r="A17" s="26" t="s">
        <v>22</v>
      </c>
      <c r="B17" s="27">
        <v>12095873.720000001</v>
      </c>
      <c r="C17" s="28">
        <v>21</v>
      </c>
      <c r="D17" s="27">
        <v>575993.99</v>
      </c>
      <c r="E17" s="26" t="s">
        <v>25</v>
      </c>
      <c r="F17" s="27">
        <v>8871876.2400000002</v>
      </c>
      <c r="G17" s="28">
        <v>18</v>
      </c>
      <c r="H17" s="27">
        <v>492882.01</v>
      </c>
    </row>
    <row r="18" spans="1:8" x14ac:dyDescent="0.2">
      <c r="A18" s="23" t="s">
        <v>33</v>
      </c>
      <c r="B18" s="24">
        <v>12658207.539999999</v>
      </c>
      <c r="C18" s="25">
        <v>20</v>
      </c>
      <c r="D18" s="24">
        <v>632910.38</v>
      </c>
      <c r="E18" s="23" t="s">
        <v>35</v>
      </c>
      <c r="F18" s="24">
        <v>12719764.109999999</v>
      </c>
      <c r="G18" s="25">
        <v>19</v>
      </c>
      <c r="H18" s="24">
        <v>669461.27</v>
      </c>
    </row>
    <row r="19" spans="1:8" x14ac:dyDescent="0.2">
      <c r="A19" s="26" t="s">
        <v>38</v>
      </c>
      <c r="B19" s="27">
        <v>13608535.460000001</v>
      </c>
      <c r="C19" s="28">
        <v>21</v>
      </c>
      <c r="D19" s="27">
        <v>648025.5</v>
      </c>
      <c r="E19" s="26" t="s">
        <v>50</v>
      </c>
      <c r="F19" s="27">
        <v>10644299.789999999</v>
      </c>
      <c r="G19" s="28">
        <v>20</v>
      </c>
      <c r="H19" s="27">
        <v>532214.99</v>
      </c>
    </row>
    <row r="20" spans="1:8" x14ac:dyDescent="0.2">
      <c r="A20" s="23" t="s">
        <v>44</v>
      </c>
      <c r="B20" s="24">
        <v>8446900.8599999994</v>
      </c>
      <c r="C20" s="25">
        <v>18</v>
      </c>
      <c r="D20" s="24">
        <v>469272.27</v>
      </c>
      <c r="E20" s="23" t="s">
        <v>41</v>
      </c>
      <c r="F20" s="24">
        <v>11536466.050000001</v>
      </c>
      <c r="G20" s="25">
        <v>20</v>
      </c>
      <c r="H20" s="24">
        <v>576823.30000000005</v>
      </c>
    </row>
    <row r="21" spans="1:8" x14ac:dyDescent="0.2">
      <c r="A21" s="29" t="s">
        <v>192</v>
      </c>
      <c r="B21" s="30">
        <v>58030603.039999999</v>
      </c>
      <c r="C21" s="31">
        <v>99</v>
      </c>
      <c r="D21" s="30" t="s">
        <v>193</v>
      </c>
    </row>
    <row r="23" spans="1:8" x14ac:dyDescent="0.2">
      <c r="A23" s="64" t="s">
        <v>194</v>
      </c>
      <c r="B23" s="59"/>
      <c r="C23" s="59"/>
      <c r="D23" s="60"/>
      <c r="E23" s="64" t="s">
        <v>195</v>
      </c>
      <c r="F23" s="59"/>
      <c r="G23" s="59"/>
      <c r="H23" s="60"/>
    </row>
    <row r="24" spans="1:8" x14ac:dyDescent="0.2">
      <c r="A24" s="22" t="s">
        <v>20</v>
      </c>
      <c r="B24" s="22" t="s">
        <v>189</v>
      </c>
      <c r="C24" s="22" t="s">
        <v>190</v>
      </c>
      <c r="D24" s="22" t="s">
        <v>191</v>
      </c>
      <c r="E24" s="22" t="s">
        <v>10</v>
      </c>
      <c r="F24" s="22" t="s">
        <v>189</v>
      </c>
      <c r="G24" s="22" t="s">
        <v>190</v>
      </c>
      <c r="H24" s="22" t="s">
        <v>191</v>
      </c>
    </row>
    <row r="25" spans="1:8" x14ac:dyDescent="0.2">
      <c r="A25" s="32">
        <v>2018</v>
      </c>
      <c r="B25" s="27">
        <v>6428231.5599999996</v>
      </c>
      <c r="C25" s="28">
        <v>10</v>
      </c>
      <c r="D25" s="27">
        <v>642823.16</v>
      </c>
      <c r="E25" s="26" t="s">
        <v>34</v>
      </c>
      <c r="F25" s="27">
        <v>12876363.98</v>
      </c>
      <c r="G25" s="28">
        <v>21</v>
      </c>
      <c r="H25" s="27">
        <v>613160.18999999994</v>
      </c>
    </row>
    <row r="26" spans="1:8" x14ac:dyDescent="0.2">
      <c r="A26" s="33">
        <v>2019</v>
      </c>
      <c r="B26" s="34">
        <v>10365188.91</v>
      </c>
      <c r="C26" s="35">
        <v>17</v>
      </c>
      <c r="D26" s="34">
        <v>609717</v>
      </c>
      <c r="E26" s="23" t="s">
        <v>24</v>
      </c>
      <c r="F26" s="24">
        <v>11725993.85</v>
      </c>
      <c r="G26" s="25">
        <v>23</v>
      </c>
      <c r="H26" s="24">
        <v>509825.82</v>
      </c>
    </row>
    <row r="27" spans="1:8" x14ac:dyDescent="0.2">
      <c r="A27" s="32">
        <v>2020</v>
      </c>
      <c r="B27" s="27">
        <v>12073242.220000001</v>
      </c>
      <c r="C27" s="28">
        <v>20</v>
      </c>
      <c r="D27" s="27">
        <v>603662.11</v>
      </c>
      <c r="E27" s="26" t="s">
        <v>40</v>
      </c>
      <c r="F27" s="27">
        <v>13166360.9</v>
      </c>
      <c r="G27" s="28">
        <v>20</v>
      </c>
      <c r="H27" s="27">
        <v>658318.04</v>
      </c>
    </row>
    <row r="28" spans="1:8" x14ac:dyDescent="0.2">
      <c r="A28" s="33">
        <v>2021</v>
      </c>
      <c r="B28" s="34">
        <v>11966327.34</v>
      </c>
      <c r="C28" s="35">
        <v>20</v>
      </c>
      <c r="D28" s="34">
        <v>598316.37</v>
      </c>
      <c r="E28" s="23" t="s">
        <v>29</v>
      </c>
      <c r="F28" s="24">
        <v>20261885.32</v>
      </c>
      <c r="G28" s="25">
        <v>35</v>
      </c>
      <c r="H28" s="24">
        <v>578911.01</v>
      </c>
    </row>
    <row r="29" spans="1:8" x14ac:dyDescent="0.2">
      <c r="A29" s="32">
        <v>2022</v>
      </c>
      <c r="B29" s="27">
        <v>9751736.6099999994</v>
      </c>
      <c r="C29" s="28">
        <v>16</v>
      </c>
      <c r="D29" s="27">
        <v>609483.54</v>
      </c>
    </row>
    <row r="30" spans="1:8" x14ac:dyDescent="0.2">
      <c r="A30" s="33">
        <v>2023</v>
      </c>
      <c r="B30" s="34">
        <v>7445877.4100000001</v>
      </c>
      <c r="C30" s="35">
        <v>16</v>
      </c>
      <c r="D30" s="34">
        <v>465367.34</v>
      </c>
    </row>
    <row r="51" ht="10" customHeight="1" x14ac:dyDescent="0.2"/>
    <row r="52" ht="11" hidden="1" x14ac:dyDescent="0.2"/>
    <row r="53" ht="1" hidden="1" x14ac:dyDescent="0.2"/>
    <row r="54" ht="1" hidden="1" x14ac:dyDescent="0.2"/>
    <row r="55" hidden="1" x14ac:dyDescent="0.2"/>
    <row r="73" spans="1:12" x14ac:dyDescent="0.2">
      <c r="A73" s="73" t="s">
        <v>196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60"/>
    </row>
    <row r="74" spans="1:12" ht="36" customHeight="1" x14ac:dyDescent="0.2">
      <c r="A74" s="71" t="s">
        <v>197</v>
      </c>
      <c r="B74" s="63"/>
      <c r="C74" s="61" t="s">
        <v>198</v>
      </c>
      <c r="D74" s="62"/>
      <c r="E74" s="62"/>
      <c r="F74" s="62"/>
      <c r="G74" s="62"/>
      <c r="H74" s="62"/>
      <c r="I74" s="62"/>
      <c r="J74" s="62"/>
      <c r="K74" s="62"/>
      <c r="L74" s="63"/>
    </row>
    <row r="75" spans="1:12" ht="36" customHeight="1" x14ac:dyDescent="0.2">
      <c r="A75" s="69" t="s">
        <v>199</v>
      </c>
      <c r="B75" s="63"/>
      <c r="C75" s="72" t="s">
        <v>200</v>
      </c>
      <c r="D75" s="62"/>
      <c r="E75" s="62"/>
      <c r="F75" s="62"/>
      <c r="G75" s="62"/>
      <c r="H75" s="62"/>
      <c r="I75" s="62"/>
      <c r="J75" s="62"/>
      <c r="K75" s="62"/>
      <c r="L75" s="63"/>
    </row>
    <row r="76" spans="1:12" ht="36" customHeight="1" x14ac:dyDescent="0.2">
      <c r="A76" s="71" t="s">
        <v>201</v>
      </c>
      <c r="B76" s="63"/>
      <c r="C76" s="61" t="s">
        <v>202</v>
      </c>
      <c r="D76" s="62"/>
      <c r="E76" s="62"/>
      <c r="F76" s="62"/>
      <c r="G76" s="62"/>
      <c r="H76" s="62"/>
      <c r="I76" s="62"/>
      <c r="J76" s="62"/>
      <c r="K76" s="62"/>
      <c r="L76" s="63"/>
    </row>
    <row r="77" spans="1:12" ht="36" customHeight="1" x14ac:dyDescent="0.2">
      <c r="A77" s="69" t="s">
        <v>203</v>
      </c>
      <c r="B77" s="63"/>
      <c r="C77" s="72" t="s">
        <v>204</v>
      </c>
      <c r="D77" s="62"/>
      <c r="E77" s="62"/>
      <c r="F77" s="62"/>
      <c r="G77" s="62"/>
      <c r="H77" s="62"/>
      <c r="I77" s="62"/>
      <c r="J77" s="62"/>
      <c r="K77" s="62"/>
      <c r="L77" s="63"/>
    </row>
    <row r="78" spans="1:12" ht="36" customHeight="1" x14ac:dyDescent="0.2">
      <c r="A78" s="71" t="s">
        <v>205</v>
      </c>
      <c r="B78" s="63"/>
      <c r="C78" s="61" t="s">
        <v>206</v>
      </c>
      <c r="D78" s="62"/>
      <c r="E78" s="62"/>
      <c r="F78" s="62"/>
      <c r="G78" s="62"/>
      <c r="H78" s="62"/>
      <c r="I78" s="62"/>
      <c r="J78" s="62"/>
      <c r="K78" s="62"/>
      <c r="L78" s="63"/>
    </row>
    <row r="79" spans="1:12" ht="36" customHeight="1" x14ac:dyDescent="0.2">
      <c r="A79" s="69" t="s">
        <v>207</v>
      </c>
      <c r="B79" s="63"/>
      <c r="C79" s="72" t="s">
        <v>208</v>
      </c>
      <c r="D79" s="62"/>
      <c r="E79" s="62"/>
      <c r="F79" s="62"/>
      <c r="G79" s="62"/>
      <c r="H79" s="62"/>
      <c r="I79" s="62"/>
      <c r="J79" s="62"/>
      <c r="K79" s="62"/>
      <c r="L79" s="63"/>
    </row>
  </sheetData>
  <mergeCells count="36">
    <mergeCell ref="B6:C6"/>
    <mergeCell ref="C75:L75"/>
    <mergeCell ref="B5:C5"/>
    <mergeCell ref="A1:L1"/>
    <mergeCell ref="E4:G4"/>
    <mergeCell ref="A14:D14"/>
    <mergeCell ref="C79:L79"/>
    <mergeCell ref="A76:B76"/>
    <mergeCell ref="B10:C10"/>
    <mergeCell ref="B9:C9"/>
    <mergeCell ref="F9:G9"/>
    <mergeCell ref="A73:L73"/>
    <mergeCell ref="A77:B77"/>
    <mergeCell ref="F6:G6"/>
    <mergeCell ref="A79:B79"/>
    <mergeCell ref="F7:G7"/>
    <mergeCell ref="A2:L2"/>
    <mergeCell ref="A78:B78"/>
    <mergeCell ref="F12:G12"/>
    <mergeCell ref="B11:C11"/>
    <mergeCell ref="F5:G5"/>
    <mergeCell ref="C78:L78"/>
    <mergeCell ref="A75:B75"/>
    <mergeCell ref="C77:L77"/>
    <mergeCell ref="A74:B74"/>
    <mergeCell ref="A4:C4"/>
    <mergeCell ref="B8:C8"/>
    <mergeCell ref="F8:G8"/>
    <mergeCell ref="E14:H14"/>
    <mergeCell ref="C76:L76"/>
    <mergeCell ref="A23:D23"/>
    <mergeCell ref="F11:G11"/>
    <mergeCell ref="B7:C7"/>
    <mergeCell ref="F10:G10"/>
    <mergeCell ref="C74:L74"/>
    <mergeCell ref="E23:H2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showGridLines="0" workbookViewId="0">
      <pane ySplit="2" topLeftCell="A76" activePane="bottomLeft" state="frozen"/>
      <selection pane="bottomLeft" sqref="A1:J1"/>
    </sheetView>
  </sheetViews>
  <sheetFormatPr baseColWidth="10" defaultColWidth="8.83203125" defaultRowHeight="15" x14ac:dyDescent="0.2"/>
  <cols>
    <col min="1" max="1" width="28" customWidth="1"/>
    <col min="2" max="3" width="14" customWidth="1"/>
    <col min="4" max="4" width="18" customWidth="1"/>
    <col min="5" max="6" width="4" customWidth="1"/>
    <col min="7" max="7" width="20" customWidth="1"/>
    <col min="8" max="10" width="16" customWidth="1"/>
  </cols>
  <sheetData>
    <row r="1" spans="1:10" ht="30" customHeight="1" x14ac:dyDescent="0.2">
      <c r="A1" s="74" t="s">
        <v>209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x14ac:dyDescent="0.2">
      <c r="A2" s="70" t="s">
        <v>210</v>
      </c>
      <c r="B2" s="59"/>
      <c r="C2" s="59"/>
      <c r="D2" s="59"/>
      <c r="E2" s="59"/>
      <c r="F2" s="59"/>
      <c r="G2" s="59"/>
      <c r="H2" s="59"/>
      <c r="I2" s="59"/>
      <c r="J2" s="60"/>
    </row>
    <row r="4" spans="1:10" x14ac:dyDescent="0.2">
      <c r="A4" s="73" t="s">
        <v>211</v>
      </c>
      <c r="B4" s="59"/>
      <c r="C4" s="59"/>
      <c r="D4" s="59"/>
      <c r="E4" s="60"/>
      <c r="G4" s="73" t="s">
        <v>212</v>
      </c>
      <c r="H4" s="59"/>
      <c r="I4" s="59"/>
      <c r="J4" s="60"/>
    </row>
    <row r="5" spans="1:10" ht="16" customHeight="1" x14ac:dyDescent="0.2">
      <c r="A5" s="81" t="s">
        <v>164</v>
      </c>
      <c r="B5" s="62"/>
      <c r="C5" s="63"/>
      <c r="D5" s="78" t="s">
        <v>165</v>
      </c>
      <c r="E5" s="63"/>
      <c r="G5" s="77" t="s">
        <v>213</v>
      </c>
      <c r="H5" s="63"/>
      <c r="I5" s="83">
        <v>8841969.3800000008</v>
      </c>
      <c r="J5" s="63"/>
    </row>
    <row r="6" spans="1:10" ht="16" customHeight="1" x14ac:dyDescent="0.2">
      <c r="A6" s="79" t="s">
        <v>214</v>
      </c>
      <c r="B6" s="62"/>
      <c r="C6" s="63"/>
      <c r="D6" s="76" t="s">
        <v>215</v>
      </c>
      <c r="E6" s="63"/>
      <c r="G6" s="89" t="s">
        <v>216</v>
      </c>
      <c r="H6" s="63"/>
      <c r="I6" s="80">
        <v>262697.37</v>
      </c>
      <c r="J6" s="63"/>
    </row>
    <row r="7" spans="1:10" ht="16" customHeight="1" x14ac:dyDescent="0.2">
      <c r="A7" s="81" t="s">
        <v>170</v>
      </c>
      <c r="B7" s="62"/>
      <c r="C7" s="63"/>
      <c r="D7" s="78" t="s">
        <v>171</v>
      </c>
      <c r="E7" s="63"/>
      <c r="G7" s="82" t="s">
        <v>217</v>
      </c>
      <c r="H7" s="63"/>
      <c r="I7" s="83">
        <v>9104666.75</v>
      </c>
      <c r="J7" s="63"/>
    </row>
    <row r="8" spans="1:10" ht="16" customHeight="1" x14ac:dyDescent="0.2">
      <c r="A8" s="79" t="s">
        <v>218</v>
      </c>
      <c r="B8" s="62"/>
      <c r="C8" s="63"/>
      <c r="D8" s="76" t="s">
        <v>219</v>
      </c>
      <c r="E8" s="63"/>
      <c r="G8" s="89" t="s">
        <v>220</v>
      </c>
      <c r="H8" s="63"/>
      <c r="I8" s="84">
        <v>0.3</v>
      </c>
      <c r="J8" s="63"/>
    </row>
    <row r="9" spans="1:10" ht="16" customHeight="1" x14ac:dyDescent="0.2">
      <c r="A9" s="81" t="s">
        <v>173</v>
      </c>
      <c r="B9" s="62"/>
      <c r="C9" s="63"/>
      <c r="D9" s="78" t="s">
        <v>174</v>
      </c>
      <c r="E9" s="63"/>
      <c r="G9" s="82" t="s">
        <v>221</v>
      </c>
      <c r="H9" s="63"/>
      <c r="I9" s="88">
        <v>0.1</v>
      </c>
      <c r="J9" s="63"/>
    </row>
    <row r="10" spans="1:10" ht="16" customHeight="1" x14ac:dyDescent="0.2">
      <c r="A10" s="79" t="s">
        <v>222</v>
      </c>
      <c r="B10" s="62"/>
      <c r="C10" s="63"/>
      <c r="D10" s="76" t="s">
        <v>223</v>
      </c>
      <c r="E10" s="63"/>
      <c r="G10" s="90" t="s">
        <v>224</v>
      </c>
      <c r="H10" s="63"/>
      <c r="I10" s="87">
        <v>13019673.449999999</v>
      </c>
      <c r="J10" s="63"/>
    </row>
    <row r="11" spans="1:10" ht="16" customHeight="1" x14ac:dyDescent="0.2">
      <c r="A11" s="81" t="s">
        <v>179</v>
      </c>
      <c r="B11" s="62"/>
      <c r="C11" s="63"/>
      <c r="D11" s="78" t="s">
        <v>180</v>
      </c>
      <c r="E11" s="63"/>
      <c r="G11" s="82" t="s">
        <v>225</v>
      </c>
      <c r="H11" s="63"/>
      <c r="I11" s="83">
        <v>13778314.42</v>
      </c>
      <c r="J11" s="63"/>
    </row>
    <row r="12" spans="1:10" ht="16" customHeight="1" x14ac:dyDescent="0.2">
      <c r="A12" s="79" t="s">
        <v>226</v>
      </c>
      <c r="B12" s="62"/>
      <c r="C12" s="63"/>
      <c r="D12" s="76" t="s">
        <v>227</v>
      </c>
      <c r="E12" s="63"/>
      <c r="G12" s="39">
        <v>2024</v>
      </c>
      <c r="H12" s="40" t="s">
        <v>228</v>
      </c>
      <c r="I12" s="41">
        <v>1</v>
      </c>
      <c r="J12" s="23" t="s">
        <v>229</v>
      </c>
    </row>
    <row r="13" spans="1:10" ht="16" customHeight="1" x14ac:dyDescent="0.2">
      <c r="A13" s="81" t="s">
        <v>230</v>
      </c>
      <c r="B13" s="62"/>
      <c r="C13" s="63"/>
      <c r="D13" s="78" t="s">
        <v>231</v>
      </c>
      <c r="E13" s="63"/>
    </row>
    <row r="14" spans="1:10" ht="16" customHeight="1" x14ac:dyDescent="0.2">
      <c r="A14" s="79" t="s">
        <v>232</v>
      </c>
      <c r="B14" s="62"/>
      <c r="C14" s="63"/>
      <c r="D14" s="76" t="s">
        <v>233</v>
      </c>
      <c r="E14" s="63"/>
    </row>
    <row r="17" spans="1:5" x14ac:dyDescent="0.2">
      <c r="A17" s="64" t="s">
        <v>234</v>
      </c>
      <c r="B17" s="59"/>
      <c r="C17" s="59"/>
      <c r="D17" s="59"/>
      <c r="E17" s="60"/>
    </row>
    <row r="18" spans="1:5" x14ac:dyDescent="0.2">
      <c r="A18" s="22" t="s">
        <v>20</v>
      </c>
      <c r="B18" s="22" t="s">
        <v>13</v>
      </c>
      <c r="C18" s="22" t="s">
        <v>235</v>
      </c>
      <c r="D18" s="22" t="s">
        <v>236</v>
      </c>
    </row>
    <row r="19" spans="1:5" x14ac:dyDescent="0.2">
      <c r="A19" s="32">
        <v>2018</v>
      </c>
      <c r="B19" s="28">
        <v>45000000</v>
      </c>
      <c r="C19" s="28">
        <v>10</v>
      </c>
      <c r="D19" s="42">
        <v>2.2219999999999999E-7</v>
      </c>
    </row>
    <row r="20" spans="1:5" x14ac:dyDescent="0.2">
      <c r="A20" s="43">
        <v>2019</v>
      </c>
      <c r="B20" s="25">
        <v>49000000</v>
      </c>
      <c r="C20" s="25">
        <v>17</v>
      </c>
      <c r="D20" s="44">
        <v>3.4690000000000002E-7</v>
      </c>
    </row>
    <row r="21" spans="1:5" x14ac:dyDescent="0.2">
      <c r="A21" s="32">
        <v>2020</v>
      </c>
      <c r="B21" s="28">
        <v>41750000</v>
      </c>
      <c r="C21" s="28">
        <v>20</v>
      </c>
      <c r="D21" s="42">
        <v>4.7899999999999999E-7</v>
      </c>
    </row>
    <row r="22" spans="1:5" x14ac:dyDescent="0.2">
      <c r="A22" s="43">
        <v>2021</v>
      </c>
      <c r="B22" s="25">
        <v>41500000</v>
      </c>
      <c r="C22" s="25">
        <v>20</v>
      </c>
      <c r="D22" s="44">
        <v>4.8189999999999999E-7</v>
      </c>
    </row>
    <row r="23" spans="1:5" x14ac:dyDescent="0.2">
      <c r="A23" s="32">
        <v>2022</v>
      </c>
      <c r="B23" s="28">
        <v>43590000</v>
      </c>
      <c r="C23" s="28">
        <v>16</v>
      </c>
      <c r="D23" s="42">
        <v>3.671E-7</v>
      </c>
    </row>
    <row r="24" spans="1:5" x14ac:dyDescent="0.2">
      <c r="A24" s="43">
        <v>2023</v>
      </c>
      <c r="B24" s="25">
        <v>44750000</v>
      </c>
      <c r="C24" s="25">
        <v>16</v>
      </c>
      <c r="D24" s="44">
        <v>3.5750000000000002E-7</v>
      </c>
    </row>
    <row r="25" spans="1:5" x14ac:dyDescent="0.2">
      <c r="A25" s="45" t="s">
        <v>237</v>
      </c>
      <c r="B25" s="46"/>
      <c r="C25" s="46"/>
      <c r="D25" s="47">
        <v>3.7580000000000002E-7</v>
      </c>
    </row>
    <row r="27" spans="1:5" x14ac:dyDescent="0.2">
      <c r="A27" s="64" t="s">
        <v>238</v>
      </c>
      <c r="B27" s="59"/>
      <c r="C27" s="59"/>
      <c r="D27" s="59"/>
      <c r="E27" s="60"/>
    </row>
    <row r="28" spans="1:5" x14ac:dyDescent="0.2">
      <c r="A28" s="22" t="s">
        <v>20</v>
      </c>
      <c r="B28" s="22" t="s">
        <v>239</v>
      </c>
      <c r="C28" s="22" t="s">
        <v>190</v>
      </c>
      <c r="D28" s="22" t="s">
        <v>191</v>
      </c>
    </row>
    <row r="29" spans="1:5" x14ac:dyDescent="0.2">
      <c r="A29" s="32">
        <v>2018</v>
      </c>
      <c r="B29" s="27">
        <v>6428231.5599999996</v>
      </c>
      <c r="C29" s="28">
        <v>10</v>
      </c>
      <c r="D29" s="27">
        <v>642823.16</v>
      </c>
    </row>
    <row r="30" spans="1:5" x14ac:dyDescent="0.2">
      <c r="A30" s="43">
        <v>2019</v>
      </c>
      <c r="B30" s="24">
        <v>10365188.91</v>
      </c>
      <c r="C30" s="25">
        <v>17</v>
      </c>
      <c r="D30" s="24">
        <v>609717</v>
      </c>
    </row>
    <row r="31" spans="1:5" x14ac:dyDescent="0.2">
      <c r="A31" s="32">
        <v>2020</v>
      </c>
      <c r="B31" s="27">
        <v>12073242.220000001</v>
      </c>
      <c r="C31" s="28">
        <v>20</v>
      </c>
      <c r="D31" s="27">
        <v>603662.11</v>
      </c>
    </row>
    <row r="32" spans="1:5" x14ac:dyDescent="0.2">
      <c r="A32" s="43">
        <v>2021</v>
      </c>
      <c r="B32" s="24">
        <v>11966327.34</v>
      </c>
      <c r="C32" s="25">
        <v>20</v>
      </c>
      <c r="D32" s="24">
        <v>598316.37</v>
      </c>
    </row>
    <row r="33" spans="1:5" x14ac:dyDescent="0.2">
      <c r="A33" s="32">
        <v>2022</v>
      </c>
      <c r="B33" s="27">
        <v>9751736.6099999994</v>
      </c>
      <c r="C33" s="28">
        <v>16</v>
      </c>
      <c r="D33" s="27">
        <v>609483.54</v>
      </c>
    </row>
    <row r="34" spans="1:5" x14ac:dyDescent="0.2">
      <c r="A34" s="43">
        <v>2023</v>
      </c>
      <c r="B34" s="24">
        <v>7445877.4100000001</v>
      </c>
      <c r="C34" s="25">
        <v>16</v>
      </c>
      <c r="D34" s="24">
        <v>465367.34</v>
      </c>
    </row>
    <row r="35" spans="1:5" x14ac:dyDescent="0.2">
      <c r="A35" s="45" t="s">
        <v>237</v>
      </c>
      <c r="B35" s="46"/>
      <c r="C35" s="46"/>
      <c r="D35" s="48">
        <v>588228.25</v>
      </c>
    </row>
    <row r="37" spans="1:5" x14ac:dyDescent="0.2">
      <c r="A37" s="64" t="s">
        <v>240</v>
      </c>
      <c r="B37" s="59"/>
      <c r="C37" s="59"/>
      <c r="D37" s="59"/>
      <c r="E37" s="60"/>
    </row>
    <row r="38" spans="1:5" x14ac:dyDescent="0.2">
      <c r="A38" s="22" t="s">
        <v>20</v>
      </c>
      <c r="B38" s="22" t="s">
        <v>191</v>
      </c>
      <c r="C38" s="22" t="s">
        <v>236</v>
      </c>
      <c r="D38" s="22" t="s">
        <v>241</v>
      </c>
    </row>
    <row r="39" spans="1:5" x14ac:dyDescent="0.2">
      <c r="A39" s="32">
        <v>2018</v>
      </c>
      <c r="B39" s="27">
        <v>642823.16</v>
      </c>
      <c r="C39" s="42">
        <v>2.2219999999999999E-7</v>
      </c>
      <c r="D39" s="49">
        <v>0.14285</v>
      </c>
    </row>
    <row r="40" spans="1:5" x14ac:dyDescent="0.2">
      <c r="A40" s="43">
        <v>2019</v>
      </c>
      <c r="B40" s="24">
        <v>609717</v>
      </c>
      <c r="C40" s="44">
        <v>3.4690000000000002E-7</v>
      </c>
      <c r="D40" s="50">
        <v>0.21153</v>
      </c>
    </row>
    <row r="41" spans="1:5" x14ac:dyDescent="0.2">
      <c r="A41" s="32">
        <v>2020</v>
      </c>
      <c r="B41" s="27">
        <v>603662.11</v>
      </c>
      <c r="C41" s="42">
        <v>4.7899999999999999E-7</v>
      </c>
      <c r="D41" s="49">
        <v>0.28917999999999999</v>
      </c>
    </row>
    <row r="42" spans="1:5" x14ac:dyDescent="0.2">
      <c r="A42" s="43">
        <v>2021</v>
      </c>
      <c r="B42" s="24">
        <v>598316.37</v>
      </c>
      <c r="C42" s="44">
        <v>4.8189999999999999E-7</v>
      </c>
      <c r="D42" s="50">
        <v>0.28835</v>
      </c>
    </row>
    <row r="43" spans="1:5" x14ac:dyDescent="0.2">
      <c r="A43" s="32">
        <v>2022</v>
      </c>
      <c r="B43" s="27">
        <v>609483.54</v>
      </c>
      <c r="C43" s="42">
        <v>3.671E-7</v>
      </c>
      <c r="D43" s="49">
        <v>0.22370999999999999</v>
      </c>
    </row>
    <row r="44" spans="1:5" x14ac:dyDescent="0.2">
      <c r="A44" s="43">
        <v>2023</v>
      </c>
      <c r="B44" s="24">
        <v>465367.34</v>
      </c>
      <c r="C44" s="44">
        <v>3.5750000000000002E-7</v>
      </c>
      <c r="D44" s="50">
        <v>0.16639000000000001</v>
      </c>
    </row>
    <row r="45" spans="1:5" x14ac:dyDescent="0.2">
      <c r="A45" s="45" t="s">
        <v>237</v>
      </c>
      <c r="B45" s="46"/>
      <c r="C45" s="46"/>
      <c r="D45" s="51">
        <v>0.22034000000000001</v>
      </c>
    </row>
    <row r="47" spans="1:5" x14ac:dyDescent="0.2">
      <c r="A47" s="64" t="s">
        <v>242</v>
      </c>
      <c r="B47" s="59"/>
      <c r="C47" s="59"/>
      <c r="D47" s="59"/>
      <c r="E47" s="60"/>
    </row>
    <row r="48" spans="1:5" x14ac:dyDescent="0.2">
      <c r="A48" s="77" t="s">
        <v>243</v>
      </c>
      <c r="B48" s="62"/>
      <c r="C48" s="63"/>
      <c r="D48" s="42">
        <v>3.7580000000000002E-7</v>
      </c>
    </row>
    <row r="49" spans="1:5" x14ac:dyDescent="0.2">
      <c r="A49" s="77" t="s">
        <v>244</v>
      </c>
      <c r="B49" s="62"/>
      <c r="C49" s="63"/>
      <c r="D49" s="27">
        <v>588228.25</v>
      </c>
    </row>
    <row r="50" spans="1:5" x14ac:dyDescent="0.2">
      <c r="A50" s="77" t="s">
        <v>230</v>
      </c>
      <c r="B50" s="62"/>
      <c r="C50" s="63"/>
      <c r="D50" s="28">
        <v>40000000</v>
      </c>
    </row>
    <row r="51" spans="1:5" x14ac:dyDescent="0.2">
      <c r="A51" s="85" t="s">
        <v>245</v>
      </c>
      <c r="B51" s="62"/>
      <c r="C51" s="63"/>
      <c r="D51" s="38">
        <v>8841969.3800000008</v>
      </c>
    </row>
    <row r="53" spans="1:5" x14ac:dyDescent="0.2">
      <c r="A53" s="64" t="s">
        <v>246</v>
      </c>
      <c r="B53" s="59"/>
      <c r="C53" s="59"/>
      <c r="D53" s="59"/>
      <c r="E53" s="60"/>
    </row>
    <row r="54" spans="1:5" x14ac:dyDescent="0.2">
      <c r="A54" s="77" t="s">
        <v>247</v>
      </c>
      <c r="B54" s="62"/>
      <c r="C54" s="63"/>
      <c r="D54" s="26" t="s">
        <v>248</v>
      </c>
    </row>
    <row r="55" spans="1:5" x14ac:dyDescent="0.2">
      <c r="A55" s="77" t="s">
        <v>249</v>
      </c>
      <c r="B55" s="62"/>
      <c r="C55" s="63"/>
      <c r="D55" s="27">
        <v>5253947.42</v>
      </c>
    </row>
    <row r="56" spans="1:5" x14ac:dyDescent="0.2">
      <c r="A56" s="77" t="s">
        <v>250</v>
      </c>
      <c r="B56" s="62"/>
      <c r="C56" s="63"/>
      <c r="D56" s="28">
        <v>20</v>
      </c>
    </row>
    <row r="57" spans="1:5" x14ac:dyDescent="0.2">
      <c r="A57" s="75" t="s">
        <v>251</v>
      </c>
      <c r="B57" s="62"/>
      <c r="C57" s="63"/>
      <c r="D57" s="52">
        <v>262697.37</v>
      </c>
    </row>
    <row r="59" spans="1:5" x14ac:dyDescent="0.2">
      <c r="A59" s="64" t="s">
        <v>252</v>
      </c>
      <c r="B59" s="59"/>
      <c r="C59" s="59"/>
      <c r="D59" s="59"/>
      <c r="E59" s="60"/>
    </row>
    <row r="60" spans="1:5" x14ac:dyDescent="0.2">
      <c r="A60" s="86" t="s">
        <v>213</v>
      </c>
      <c r="B60" s="62"/>
      <c r="C60" s="63"/>
      <c r="D60" s="34">
        <v>8841969.3800000008</v>
      </c>
    </row>
    <row r="61" spans="1:5" x14ac:dyDescent="0.2">
      <c r="A61" s="77" t="s">
        <v>216</v>
      </c>
      <c r="B61" s="62"/>
      <c r="C61" s="63"/>
      <c r="D61" s="27">
        <v>262697.37</v>
      </c>
    </row>
    <row r="62" spans="1:5" x14ac:dyDescent="0.2">
      <c r="A62" s="86" t="s">
        <v>217</v>
      </c>
      <c r="B62" s="62"/>
      <c r="C62" s="63"/>
      <c r="D62" s="34">
        <v>9104666.75</v>
      </c>
    </row>
    <row r="63" spans="1:5" x14ac:dyDescent="0.2">
      <c r="A63" s="77" t="s">
        <v>220</v>
      </c>
      <c r="B63" s="62"/>
      <c r="C63" s="63"/>
      <c r="D63" s="37">
        <v>0.3</v>
      </c>
    </row>
    <row r="64" spans="1:5" x14ac:dyDescent="0.2">
      <c r="A64" s="86" t="s">
        <v>221</v>
      </c>
      <c r="B64" s="62"/>
      <c r="C64" s="63"/>
      <c r="D64" s="36">
        <v>0.1</v>
      </c>
    </row>
    <row r="65" spans="1:10" ht="18" customHeight="1" x14ac:dyDescent="0.2">
      <c r="A65" s="85" t="s">
        <v>253</v>
      </c>
      <c r="B65" s="62"/>
      <c r="C65" s="63"/>
      <c r="D65" s="38">
        <v>13019673.449999999</v>
      </c>
    </row>
    <row r="67" spans="1:10" x14ac:dyDescent="0.2">
      <c r="A67" s="73" t="s">
        <v>254</v>
      </c>
      <c r="B67" s="59"/>
      <c r="C67" s="59"/>
      <c r="D67" s="59"/>
      <c r="E67" s="60"/>
    </row>
    <row r="68" spans="1:10" x14ac:dyDescent="0.2">
      <c r="A68" s="70" t="s">
        <v>255</v>
      </c>
      <c r="B68" s="59"/>
      <c r="C68" s="59"/>
      <c r="D68" s="59"/>
      <c r="E68" s="60"/>
    </row>
    <row r="69" spans="1:10" x14ac:dyDescent="0.2">
      <c r="A69" s="77" t="s">
        <v>256</v>
      </c>
      <c r="B69" s="62"/>
      <c r="C69" s="63"/>
      <c r="D69" s="27">
        <v>588228.25</v>
      </c>
    </row>
    <row r="70" spans="1:10" x14ac:dyDescent="0.2">
      <c r="A70" s="86" t="s">
        <v>257</v>
      </c>
      <c r="B70" s="62"/>
      <c r="C70" s="63"/>
      <c r="D70" s="53" t="s">
        <v>258</v>
      </c>
    </row>
    <row r="71" spans="1:10" x14ac:dyDescent="0.2">
      <c r="A71" s="77" t="s">
        <v>259</v>
      </c>
      <c r="B71" s="62"/>
      <c r="C71" s="63"/>
      <c r="D71" s="27">
        <v>623521.94999999995</v>
      </c>
    </row>
    <row r="72" spans="1:10" x14ac:dyDescent="0.2">
      <c r="A72" s="86" t="s">
        <v>260</v>
      </c>
      <c r="B72" s="62"/>
      <c r="C72" s="63"/>
      <c r="D72" s="34">
        <v>9372487.5399999991</v>
      </c>
    </row>
    <row r="73" spans="1:10" x14ac:dyDescent="0.2">
      <c r="A73" s="77" t="s">
        <v>216</v>
      </c>
      <c r="B73" s="62"/>
      <c r="C73" s="63"/>
      <c r="D73" s="27">
        <v>262697.37</v>
      </c>
    </row>
    <row r="74" spans="1:10" x14ac:dyDescent="0.2">
      <c r="A74" s="86" t="s">
        <v>261</v>
      </c>
      <c r="B74" s="62"/>
      <c r="C74" s="63"/>
      <c r="D74" s="34">
        <v>9635184.9100000001</v>
      </c>
    </row>
    <row r="75" spans="1:10" x14ac:dyDescent="0.2">
      <c r="A75" s="75" t="s">
        <v>262</v>
      </c>
      <c r="B75" s="62"/>
      <c r="C75" s="63"/>
      <c r="D75" s="52">
        <v>13778314.42</v>
      </c>
    </row>
    <row r="76" spans="1:10" x14ac:dyDescent="0.2">
      <c r="A76" s="86" t="s">
        <v>263</v>
      </c>
      <c r="B76" s="62"/>
      <c r="C76" s="63"/>
      <c r="D76" s="34">
        <v>758640.97</v>
      </c>
    </row>
    <row r="77" spans="1:10" x14ac:dyDescent="0.2">
      <c r="A77" s="77" t="s">
        <v>264</v>
      </c>
      <c r="B77" s="62"/>
      <c r="C77" s="63"/>
      <c r="D77" s="54">
        <v>5.8270000000000002E-2</v>
      </c>
    </row>
    <row r="79" spans="1:10" x14ac:dyDescent="0.2">
      <c r="A79" s="73" t="s">
        <v>265</v>
      </c>
      <c r="B79" s="59"/>
      <c r="C79" s="59"/>
      <c r="D79" s="59"/>
      <c r="E79" s="59"/>
      <c r="F79" s="59"/>
      <c r="G79" s="59"/>
      <c r="H79" s="59"/>
      <c r="I79" s="59"/>
      <c r="J79" s="60"/>
    </row>
    <row r="80" spans="1:10" ht="40" customHeight="1" x14ac:dyDescent="0.2">
      <c r="A80" s="71" t="s">
        <v>266</v>
      </c>
      <c r="B80" s="62"/>
      <c r="C80" s="63"/>
      <c r="D80" s="61" t="s">
        <v>267</v>
      </c>
      <c r="E80" s="62"/>
      <c r="F80" s="62"/>
      <c r="G80" s="62"/>
      <c r="H80" s="62"/>
      <c r="I80" s="62"/>
      <c r="J80" s="63"/>
    </row>
    <row r="81" spans="1:10" ht="40" customHeight="1" x14ac:dyDescent="0.2">
      <c r="A81" s="69" t="s">
        <v>268</v>
      </c>
      <c r="B81" s="62"/>
      <c r="C81" s="63"/>
      <c r="D81" s="72" t="s">
        <v>269</v>
      </c>
      <c r="E81" s="62"/>
      <c r="F81" s="62"/>
      <c r="G81" s="62"/>
      <c r="H81" s="62"/>
      <c r="I81" s="62"/>
      <c r="J81" s="63"/>
    </row>
    <row r="82" spans="1:10" ht="40" customHeight="1" x14ac:dyDescent="0.2">
      <c r="A82" s="71" t="s">
        <v>270</v>
      </c>
      <c r="B82" s="62"/>
      <c r="C82" s="63"/>
      <c r="D82" s="61" t="s">
        <v>271</v>
      </c>
      <c r="E82" s="62"/>
      <c r="F82" s="62"/>
      <c r="G82" s="62"/>
      <c r="H82" s="62"/>
      <c r="I82" s="62"/>
      <c r="J82" s="63"/>
    </row>
    <row r="83" spans="1:10" ht="40" customHeight="1" x14ac:dyDescent="0.2">
      <c r="A83" s="69" t="s">
        <v>272</v>
      </c>
      <c r="B83" s="62"/>
      <c r="C83" s="63"/>
      <c r="D83" s="72" t="s">
        <v>273</v>
      </c>
      <c r="E83" s="62"/>
      <c r="F83" s="62"/>
      <c r="G83" s="62"/>
      <c r="H83" s="62"/>
      <c r="I83" s="62"/>
      <c r="J83" s="63"/>
    </row>
    <row r="84" spans="1:10" ht="40" customHeight="1" x14ac:dyDescent="0.2">
      <c r="A84" s="71" t="s">
        <v>274</v>
      </c>
      <c r="B84" s="62"/>
      <c r="C84" s="63"/>
      <c r="D84" s="61" t="s">
        <v>275</v>
      </c>
      <c r="E84" s="62"/>
      <c r="F84" s="62"/>
      <c r="G84" s="62"/>
      <c r="H84" s="62"/>
      <c r="I84" s="62"/>
      <c r="J84" s="63"/>
    </row>
    <row r="85" spans="1:10" ht="40" customHeight="1" x14ac:dyDescent="0.2">
      <c r="A85" s="69" t="s">
        <v>276</v>
      </c>
      <c r="B85" s="62"/>
      <c r="C85" s="63"/>
      <c r="D85" s="72" t="s">
        <v>277</v>
      </c>
      <c r="E85" s="62"/>
      <c r="F85" s="62"/>
      <c r="G85" s="62"/>
      <c r="H85" s="62"/>
      <c r="I85" s="62"/>
      <c r="J85" s="63"/>
    </row>
  </sheetData>
  <mergeCells count="82">
    <mergeCell ref="A1:J1"/>
    <mergeCell ref="D84:J84"/>
    <mergeCell ref="G5:H5"/>
    <mergeCell ref="A9:C9"/>
    <mergeCell ref="I5:J5"/>
    <mergeCell ref="A48:C48"/>
    <mergeCell ref="A17:E17"/>
    <mergeCell ref="D8:E8"/>
    <mergeCell ref="A53:E53"/>
    <mergeCell ref="A11:C11"/>
    <mergeCell ref="A68:E68"/>
    <mergeCell ref="A65:C65"/>
    <mergeCell ref="D85:J85"/>
    <mergeCell ref="A62:C62"/>
    <mergeCell ref="A72:C72"/>
    <mergeCell ref="A79:J79"/>
    <mergeCell ref="D80:J80"/>
    <mergeCell ref="A64:C64"/>
    <mergeCell ref="A70:C70"/>
    <mergeCell ref="A74:C74"/>
    <mergeCell ref="D82:J82"/>
    <mergeCell ref="A76:C76"/>
    <mergeCell ref="A85:C85"/>
    <mergeCell ref="A84:C84"/>
    <mergeCell ref="G11:H11"/>
    <mergeCell ref="D83:J83"/>
    <mergeCell ref="I11:J11"/>
    <mergeCell ref="A50:C50"/>
    <mergeCell ref="A47:E47"/>
    <mergeCell ref="D12:E12"/>
    <mergeCell ref="A61:C61"/>
    <mergeCell ref="D14:E14"/>
    <mergeCell ref="A54:C54"/>
    <mergeCell ref="A59:E59"/>
    <mergeCell ref="A56:C56"/>
    <mergeCell ref="A27:E27"/>
    <mergeCell ref="A82:C82"/>
    <mergeCell ref="A60:C60"/>
    <mergeCell ref="A4:E4"/>
    <mergeCell ref="I10:J10"/>
    <mergeCell ref="A2:J2"/>
    <mergeCell ref="G9:H9"/>
    <mergeCell ref="A7:C7"/>
    <mergeCell ref="I9:J9"/>
    <mergeCell ref="A67:E67"/>
    <mergeCell ref="D5:E5"/>
    <mergeCell ref="G8:H8"/>
    <mergeCell ref="A8:C8"/>
    <mergeCell ref="G10:H10"/>
    <mergeCell ref="G6:H6"/>
    <mergeCell ref="A10:C10"/>
    <mergeCell ref="A83:C83"/>
    <mergeCell ref="A49:C49"/>
    <mergeCell ref="A6:C6"/>
    <mergeCell ref="A69:C69"/>
    <mergeCell ref="D10:E10"/>
    <mergeCell ref="A75:C75"/>
    <mergeCell ref="A55:C55"/>
    <mergeCell ref="A12:C12"/>
    <mergeCell ref="D11:E11"/>
    <mergeCell ref="A14:C14"/>
    <mergeCell ref="A81:C81"/>
    <mergeCell ref="D81:J81"/>
    <mergeCell ref="A13:C13"/>
    <mergeCell ref="I8:J8"/>
    <mergeCell ref="D9:E9"/>
    <mergeCell ref="A73:C73"/>
    <mergeCell ref="A80:C80"/>
    <mergeCell ref="G4:J4"/>
    <mergeCell ref="A57:C57"/>
    <mergeCell ref="D6:E6"/>
    <mergeCell ref="A71:C71"/>
    <mergeCell ref="D13:E13"/>
    <mergeCell ref="A37:E37"/>
    <mergeCell ref="A63:C63"/>
    <mergeCell ref="D7:E7"/>
    <mergeCell ref="A77:C77"/>
    <mergeCell ref="I6:J6"/>
    <mergeCell ref="A5:C5"/>
    <mergeCell ref="G7:H7"/>
    <mergeCell ref="I7:J7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Claims Data</vt:lpstr>
      <vt:lpstr>Exploratory Analysis</vt:lpstr>
      <vt:lpstr>Pure Premium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2026-04-19T02:02:46Z</dcterms:created>
  <dcterms:modified xsi:type="dcterms:W3CDTF">2026-04-19T02:35:48Z</dcterms:modified>
</cp:coreProperties>
</file>